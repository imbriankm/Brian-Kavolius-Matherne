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briankm/Documents/GitHub/Brian-Kavolius-Matherne/capabilities/marginal-analysis/"/>
    </mc:Choice>
  </mc:AlternateContent>
  <xr:revisionPtr revIDLastSave="0" documentId="13_ncr:1_{4BB06189-F948-864B-AA8A-AA5C6933F647}" xr6:coauthVersionLast="47" xr6:coauthVersionMax="47" xr10:uidLastSave="{00000000-0000-0000-0000-000000000000}"/>
  <bookViews>
    <workbookView xWindow="-20" yWindow="620" windowWidth="27520" windowHeight="17380" firstSheet="3" activeTab="12" xr2:uid="{00000000-000D-0000-FFFF-FFFF00000000}"/>
  </bookViews>
  <sheets>
    <sheet name="README" sheetId="1" r:id="rId1"/>
    <sheet name="Inputs" sheetId="2" r:id="rId2"/>
    <sheet name="Schedules" sheetId="3" r:id="rId3"/>
    <sheet name="Answer Report 1" sheetId="7" r:id="rId4"/>
    <sheet name="Answer Report 2" sheetId="8" r:id="rId5"/>
    <sheet name="Answer Report 4" sheetId="10" r:id="rId6"/>
    <sheet name="Answer Report 5" sheetId="11" r:id="rId7"/>
    <sheet name="Answer Report 6" sheetId="12" r:id="rId8"/>
    <sheet name="Optimizer" sheetId="4" r:id="rId9"/>
    <sheet name="Checks" sheetId="5" r:id="rId10"/>
    <sheet name="Answer Report 3" sheetId="9" r:id="rId11"/>
    <sheet name="Answer Report 7" sheetId="13" r:id="rId12"/>
    <sheet name="What if" sheetId="6" r:id="rId13"/>
  </sheets>
  <definedNames>
    <definedName name="BedsPlanted">Optimizer!$B$17</definedName>
    <definedName name="BedsUnused">Optimizer!$B$18</definedName>
    <definedName name="BlendedRate">Optimizer!$B$16</definedName>
    <definedName name="BreakEven_BedsPlanted">Optimizer!$B$42</definedName>
    <definedName name="BreakEven_BedsUnused">Optimizer!$B$43</definedName>
    <definedName name="BreakEven_BlendedRate">Optimizer!$B$41</definedName>
    <definedName name="BreakEven_Carrot_Beds">Optimizer!$B$32</definedName>
    <definedName name="BreakEven_LaborCost">Optimizer!$B$40</definedName>
    <definedName name="BreakEven_Mesclun_Beds">Optimizer!$B$33</definedName>
    <definedName name="BreakEven_OwnHoursUsed">Optimizer!$B$37</definedName>
    <definedName name="BreakEven_SeasonProfit">Optimizer!$B$44</definedName>
    <definedName name="BreakEven_TempHours">Optimizer!$B$38</definedName>
    <definedName name="BreakEven_TempHoursMax">Optimizer!$B$39</definedName>
    <definedName name="BreakEven_Tomato_Beds">Optimizer!$B$31</definedName>
    <definedName name="BreakEven_TotalHours">Optimizer!$B$36</definedName>
    <definedName name="BreakEvenBeds">Optimizer!$B$45</definedName>
    <definedName name="Carrot_Beds">Optimizer!$B$7</definedName>
    <definedName name="Carrot_BreakEvenBeds">Schedules!$N$6</definedName>
    <definedName name="Carrot_Cap">Inputs!$B$10</definedName>
    <definedName name="Carrot_DimRate">Inputs!$B$14</definedName>
    <definedName name="Carrot_Fertilizer">Inputs!$B$13</definedName>
    <definedName name="Carrot_HoursPerWeek">Inputs!$B$12</definedName>
    <definedName name="Carrot_LastPossibleProfitableBed">Schedules!$N$3</definedName>
    <definedName name="Carrot_LastProfitableBed">Schedules!$N$5</definedName>
    <definedName name="Carrot_Revenue">Inputs!$B$11</definedName>
    <definedName name="DailyPenalty">Inputs!$B$32</definedName>
    <definedName name="FertilizerShare">Optimizer!$C$24</definedName>
    <definedName name="FixedCost">Inputs!$B$22</definedName>
    <definedName name="FixedShare">Optimizer!$C$25</definedName>
    <definedName name="HourlyLoss">Inputs!$B$31</definedName>
    <definedName name="LaborCost">Optimizer!$B$15</definedName>
    <definedName name="LaborShare">Optimizer!$C$23</definedName>
    <definedName name="Limit_Carrot_Cap">Optimizer!$F$14</definedName>
    <definedName name="Limit_Mesclun_Cap">Optimizer!$F$15</definedName>
    <definedName name="Limit_Tomato_Cap">Optimizer!$F$13</definedName>
    <definedName name="Limit_TotalBeds">Optimizer!$F$16</definedName>
    <definedName name="MaxTemps">Inputs!$B$27</definedName>
    <definedName name="Mesclun_Beds">Optimizer!$B$8</definedName>
    <definedName name="Mesclun_BreakEvenBeds">Schedules!$X$6</definedName>
    <definedName name="Mesclun_Cap">Inputs!$B$15</definedName>
    <definedName name="Mesclun_DimRate">Inputs!$B$19</definedName>
    <definedName name="Mesclun_Fertilizer">Inputs!$B$18</definedName>
    <definedName name="Mesclun_HoursPerWeek">Inputs!$B$17</definedName>
    <definedName name="Mesclun_LastPossibleProfitableBed">Schedules!$X$3</definedName>
    <definedName name="Mesclun_LastProfitableBed">Schedules!$X$5</definedName>
    <definedName name="Mesclun_Revenue">Inputs!$B$16</definedName>
    <definedName name="OwnDayHours">Inputs!$B$35</definedName>
    <definedName name="OwnDaysPerWeek">Inputs!$B$36</definedName>
    <definedName name="OwnEfficiency">'What if'!$B$25</definedName>
    <definedName name="OwnHours">Inputs!$B$23</definedName>
    <definedName name="OwnHoursUsed">Optimizer!$B$12</definedName>
    <definedName name="OwnPayBasisHours">Inputs!$B$41</definedName>
    <definedName name="OwnRate">Inputs!$B$24</definedName>
    <definedName name="OwnSeasonPay">Inputs!$B$40</definedName>
    <definedName name="SeasonProfit">Optimizer!$B$19</definedName>
    <definedName name="SeasonWeeks">Inputs!$B$21</definedName>
    <definedName name="solver_adj" localSheetId="8" hidden="1">Optimizer!$B$31:$B$33</definedName>
    <definedName name="solver_adj" localSheetId="12" hidden="1">'What if'!$B$30:$B$32</definedName>
    <definedName name="solver_cvg" localSheetId="8" hidden="1">0.0001</definedName>
    <definedName name="solver_cvg" localSheetId="12" hidden="1">0.0001</definedName>
    <definedName name="solver_drv" localSheetId="8" hidden="1">1</definedName>
    <definedName name="solver_drv" localSheetId="12" hidden="1">1</definedName>
    <definedName name="solver_eng" localSheetId="8" hidden="1">1</definedName>
    <definedName name="solver_eng" localSheetId="12" hidden="1">1</definedName>
    <definedName name="solver_est" localSheetId="8" hidden="1">1</definedName>
    <definedName name="solver_est" localSheetId="12" hidden="1">1</definedName>
    <definedName name="solver_itr" localSheetId="8" hidden="1">2147483647</definedName>
    <definedName name="solver_itr" localSheetId="12" hidden="1">2147483647</definedName>
    <definedName name="solver_lhs1" localSheetId="8" hidden="1">Optimizer!$B$31:$B$33</definedName>
    <definedName name="solver_lhs1" localSheetId="12" hidden="1">'What if'!$B$30:$B$32</definedName>
    <definedName name="solver_lhs2" localSheetId="8" hidden="1">Optimizer!$B$42</definedName>
    <definedName name="solver_lhs2" localSheetId="12" hidden="1">'What if'!$B$42</definedName>
    <definedName name="solver_lhs3" localSheetId="8" hidden="1">Optimizer!$B$32</definedName>
    <definedName name="solver_lhs3" localSheetId="12" hidden="1">'What if'!$B$31</definedName>
    <definedName name="solver_lhs4" localSheetId="8" hidden="1">Optimizer!$B$33</definedName>
    <definedName name="solver_lhs4" localSheetId="12" hidden="1">'What if'!$B$32</definedName>
    <definedName name="solver_lhs5" localSheetId="8" hidden="1">Optimizer!$B$44</definedName>
    <definedName name="solver_lhs5" localSheetId="12" hidden="1">'What if'!$B$37</definedName>
    <definedName name="solver_lhs6" localSheetId="8" hidden="1">Optimizer!$B$38</definedName>
    <definedName name="solver_lhs6" localSheetId="12" hidden="1">'What if'!$B$30</definedName>
    <definedName name="solver_lhs7" localSheetId="8" hidden="1">Optimizer!$B$31</definedName>
    <definedName name="solver_lin" localSheetId="8" hidden="1">2</definedName>
    <definedName name="solver_lin" localSheetId="12" hidden="1">2</definedName>
    <definedName name="solver_mip" localSheetId="8" hidden="1">2147483647</definedName>
    <definedName name="solver_mip" localSheetId="12" hidden="1">2147483647</definedName>
    <definedName name="solver_mni" localSheetId="8" hidden="1">30</definedName>
    <definedName name="solver_mni" localSheetId="12" hidden="1">30</definedName>
    <definedName name="solver_mrt" localSheetId="8" hidden="1">0.075</definedName>
    <definedName name="solver_mrt" localSheetId="12" hidden="1">0.075</definedName>
    <definedName name="solver_msl" localSheetId="8" hidden="1">2</definedName>
    <definedName name="solver_msl" localSheetId="12" hidden="1">2</definedName>
    <definedName name="solver_neg" localSheetId="8" hidden="1">1</definedName>
    <definedName name="solver_neg" localSheetId="12" hidden="1">1</definedName>
    <definedName name="solver_nod" localSheetId="8" hidden="1">2147483647</definedName>
    <definedName name="solver_nod" localSheetId="12" hidden="1">2147483647</definedName>
    <definedName name="solver_num" localSheetId="8" hidden="1">7</definedName>
    <definedName name="solver_num" localSheetId="12" hidden="1">6</definedName>
    <definedName name="solver_nwt" localSheetId="8" hidden="1">1</definedName>
    <definedName name="solver_nwt" localSheetId="12" hidden="1">1</definedName>
    <definedName name="solver_opt" localSheetId="8" hidden="1">Optimizer!$B$45</definedName>
    <definedName name="solver_opt" localSheetId="12" hidden="1">'What if'!$B$43</definedName>
    <definedName name="solver_pre" localSheetId="8" hidden="1">0.000001</definedName>
    <definedName name="solver_pre" localSheetId="12" hidden="1">0.000001</definedName>
    <definedName name="solver_rbv" localSheetId="8" hidden="1">1</definedName>
    <definedName name="solver_rbv" localSheetId="12" hidden="1">1</definedName>
    <definedName name="solver_rel1" localSheetId="8" hidden="1">4</definedName>
    <definedName name="solver_rel1" localSheetId="12" hidden="1">4</definedName>
    <definedName name="solver_rel2" localSheetId="8" hidden="1">1</definedName>
    <definedName name="solver_rel2" localSheetId="12" hidden="1">1</definedName>
    <definedName name="solver_rel3" localSheetId="8" hidden="1">1</definedName>
    <definedName name="solver_rel3" localSheetId="12" hidden="1">1</definedName>
    <definedName name="solver_rel4" localSheetId="8" hidden="1">1</definedName>
    <definedName name="solver_rel4" localSheetId="12" hidden="1">1</definedName>
    <definedName name="solver_rel5" localSheetId="8" hidden="1">3</definedName>
    <definedName name="solver_rel5" localSheetId="12" hidden="1">1</definedName>
    <definedName name="solver_rel6" localSheetId="8" hidden="1">1</definedName>
    <definedName name="solver_rel6" localSheetId="12" hidden="1">1</definedName>
    <definedName name="solver_rel7" localSheetId="8" hidden="1">1</definedName>
    <definedName name="solver_rhs1" localSheetId="8" hidden="1">"integer"</definedName>
    <definedName name="solver_rhs1" localSheetId="12" hidden="1">"integer"</definedName>
    <definedName name="solver_rhs2" localSheetId="8" hidden="1">Limit_TotalBeds</definedName>
    <definedName name="solver_rhs2" localSheetId="12" hidden="1">WhatIf_Limit_TotalBeds</definedName>
    <definedName name="solver_rhs3" localSheetId="8" hidden="1">Limit_Carrot_Cap</definedName>
    <definedName name="solver_rhs3" localSheetId="12" hidden="1">WhatIf_Limit_Carrot_Cap</definedName>
    <definedName name="solver_rhs4" localSheetId="8" hidden="1">Limit_Mesclun_Cap</definedName>
    <definedName name="solver_rhs4" localSheetId="12" hidden="1">WhatIf_Limit_Mesclun_Cap</definedName>
    <definedName name="solver_rhs5" localSheetId="8" hidden="1">0</definedName>
    <definedName name="solver_rhs5" localSheetId="12" hidden="1">WhatIf_TempPaidHoursMax</definedName>
    <definedName name="solver_rhs6" localSheetId="8" hidden="1">BreakEven_TempHoursMax</definedName>
    <definedName name="solver_rhs6" localSheetId="12" hidden="1">WhatIf_Limit_Tomato_Cap</definedName>
    <definedName name="solver_rhs7" localSheetId="8" hidden="1">Limit_Tomato_Cap</definedName>
    <definedName name="solver_rlx" localSheetId="8" hidden="1">2</definedName>
    <definedName name="solver_rlx" localSheetId="12" hidden="1">2</definedName>
    <definedName name="solver_rsd" localSheetId="8" hidden="1">0</definedName>
    <definedName name="solver_rsd" localSheetId="12" hidden="1">0</definedName>
    <definedName name="solver_scl" localSheetId="8" hidden="1">1</definedName>
    <definedName name="solver_scl" localSheetId="12" hidden="1">1</definedName>
    <definedName name="solver_sho" localSheetId="8" hidden="1">2</definedName>
    <definedName name="solver_sho" localSheetId="12" hidden="1">2</definedName>
    <definedName name="solver_ssz" localSheetId="8" hidden="1">100</definedName>
    <definedName name="solver_ssz" localSheetId="12" hidden="1">100</definedName>
    <definedName name="solver_tim" localSheetId="8" hidden="1">2147483647</definedName>
    <definedName name="solver_tim" localSheetId="12" hidden="1">2147483647</definedName>
    <definedName name="solver_tol" localSheetId="8" hidden="1">0.01</definedName>
    <definedName name="solver_tol" localSheetId="12" hidden="1">0</definedName>
    <definedName name="solver_typ" localSheetId="8" hidden="1">2</definedName>
    <definedName name="solver_typ" localSheetId="12" hidden="1">1</definedName>
    <definedName name="solver_val" localSheetId="8" hidden="1">0</definedName>
    <definedName name="solver_val" localSheetId="12" hidden="1">0</definedName>
    <definedName name="solver_ver" localSheetId="8" hidden="1">2</definedName>
    <definedName name="solver_ver" localSheetId="12" hidden="1">2</definedName>
    <definedName name="TempDayHours">Inputs!$B$33</definedName>
    <definedName name="TempDaysPerWeek">Inputs!$B$34</definedName>
    <definedName name="TempEfficiency">'What if'!$B$24</definedName>
    <definedName name="TempHours">Optimizer!$B$13</definedName>
    <definedName name="TempHoursEach">Inputs!$B$26</definedName>
    <definedName name="TempHoursMax">Optimizer!$B$14</definedName>
    <definedName name="TempRate">Inputs!$B$25</definedName>
    <definedName name="TempSeasonPay">Inputs!$B$42</definedName>
    <definedName name="Tomato_Beds">Optimizer!$B$6</definedName>
    <definedName name="Tomato_BreakEvenBeds">Schedules!$D$6</definedName>
    <definedName name="Tomato_Cap">Inputs!$B$5</definedName>
    <definedName name="Tomato_DimRate">Inputs!$B$9</definedName>
    <definedName name="Tomato_Fertilizer">Inputs!$B$8</definedName>
    <definedName name="Tomato_HoursPerWeek">Inputs!$B$7</definedName>
    <definedName name="Tomato_LastPossibleProfitableBed">Schedules!$D$3</definedName>
    <definedName name="Tomato_LastProfitableBed">Schedules!$D$5</definedName>
    <definedName name="Tomato_Revenue">Inputs!$B$6</definedName>
    <definedName name="TotalBeds">Inputs!$B$20</definedName>
    <definedName name="TotalHours">Optimizer!$B$11</definedName>
    <definedName name="WhatIf_BedsPlanted">'What if'!$B$42</definedName>
    <definedName name="WhatIf_BlendedRate">'What if'!$B$41</definedName>
    <definedName name="WhatIf_Carrot_Beds">'What if'!$B$31</definedName>
    <definedName name="WhatIf_LaborCost">'What if'!$B$40</definedName>
    <definedName name="WhatIf_Limit_Carrot_Cap">'What if'!$I$37</definedName>
    <definedName name="WhatIf_Limit_Mesclun_Cap">'What if'!$I$38</definedName>
    <definedName name="WhatIf_Limit_Tomato_Cap">'What if'!$I$36</definedName>
    <definedName name="WhatIf_Limit_TotalBeds">'What if'!$I$39</definedName>
    <definedName name="WhatIf_Mesclun_Beds">'What if'!$B$32</definedName>
    <definedName name="WhatIf_OwnPaidHours">'What if'!$B$36</definedName>
    <definedName name="WhatIf_OwnWork">'What if'!$B$35</definedName>
    <definedName name="WhatIf_PaidHours">'What if'!$B$39</definedName>
    <definedName name="WhatIf_SeasonProfit">'What if'!$B$43</definedName>
    <definedName name="WhatIf_TempPaidHours">'What if'!$B$37</definedName>
    <definedName name="WhatIf_TempPaidHoursMax">'What if'!$B$38</definedName>
    <definedName name="WhatIf_Tomato_Beds">'What if'!$B$30</definedName>
    <definedName name="WhatIf_WorkHours">'What if'!$B$34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<sst xmlns="http://schemas.openxmlformats.org/spreadsheetml/2006/main" count="834" uniqueCount="349">
  <si>
    <t>Farm planting model: README</t>
  </si>
  <si>
    <t>What this model is for</t>
  </si>
  <si>
    <t>It decides how many beds of tomatoes, carrots and mesclun to plant, whether planting fewer than 64 beds makes sense, and whether the season covers the $20,000 fixed cost. It is built from capabilities/marginal-analysis/spec.md: if the workbook and the spec disagree, fix the spec and rebuild.</t>
  </si>
  <si>
    <t>What each tab does</t>
  </si>
  <si>
    <t>Inputs: every number from the case, named. Change one here and the whole workbook recalculates.</t>
  </si>
  <si>
    <t>Schedules: one table per crop, one row per bed, showing the hours and cost one extra bed adds (the marginal cost schedule), worked out as if that crop were the only one planted.</t>
  </si>
  <si>
    <t>Optimizer: the three bed counts Solver changes, the farm's labor and profit, cost shares, and a second setup that finds the fewest beds that still cover the fixed cost.</t>
  </si>
  <si>
    <t>Checks: pass/fail cells, green when met, plus the checks you run by hand.</t>
  </si>
  <si>
    <t>What if: the same model with workers who tire through the day and the week. A side project; it never changes the other tabs.</t>
  </si>
  <si>
    <t>How to change an input</t>
  </si>
  <si>
    <t>Go to Inputs and type a new value in a blue cell. Then re-run Solver, because the best mix may change.</t>
  </si>
  <si>
    <t>How to run Solver</t>
  </si>
  <si>
    <t>Data &gt; Solver. (If it isn't there: Tools &gt; Excel Add-ins, tick Solver Add-in.) Enter the setup written on the right of the Optimizer tab, click Solve, and choose Keep Solver Solution. Run Setup 1 twice, from 0 / 0 / 0 and from 20 / 0 / 0; both must give the same mix. Setup 2 and the What if tab have their own setups and their own bed counts.</t>
  </si>
  <si>
    <t>How to read the Checks tab</t>
  </si>
  <si>
    <t>Green Pass means the rule is met; red Fail means it isn't, and is a finding for the audit. Info rows are for information only.</t>
  </si>
  <si>
    <t>Colors</t>
  </si>
  <si>
    <t>Blue text: an input you can change. Yellow: Solver's bed counts and the result cells that answer the spec's Outputs. Black: formulas.</t>
  </si>
  <si>
    <t>Who built it</t>
  </si>
  <si>
    <t>Claude built the workbook from Brian's spec on 2026-10-27. Brian runs Solver and the checks. See prompt-log.md.</t>
  </si>
  <si>
    <t>Inputs: the named contract</t>
  </si>
  <si>
    <t>Blue values are inputs. Change a value here and every other tab recalculates. Nothing else belongs on this tab.</t>
  </si>
  <si>
    <t>Name</t>
  </si>
  <si>
    <t>Value</t>
  </si>
  <si>
    <t>Unit</t>
  </si>
  <si>
    <t>Source</t>
  </si>
  <si>
    <t>Tomato_Cap</t>
  </si>
  <si>
    <t>beds</t>
  </si>
  <si>
    <t>Case facts, crop table</t>
  </si>
  <si>
    <t>Tomato_Revenue</t>
  </si>
  <si>
    <t>$ per bed</t>
  </si>
  <si>
    <t>Tomato_HoursPerWeek</t>
  </si>
  <si>
    <t>labor hours per week per bed</t>
  </si>
  <si>
    <t>Tomato_Fertilizer</t>
  </si>
  <si>
    <t>Tomato_DimRate</t>
  </si>
  <si>
    <t>added labor per bed planted</t>
  </si>
  <si>
    <t>Carrot_Cap</t>
  </si>
  <si>
    <t>Carrot_Revenue</t>
  </si>
  <si>
    <t>Carrot_HoursPerWeek</t>
  </si>
  <si>
    <t>Carrot_Fertilizer</t>
  </si>
  <si>
    <t>Carrot_DimRate</t>
  </si>
  <si>
    <t>Mesclun_Cap</t>
  </si>
  <si>
    <t>Mesclun_Revenue</t>
  </si>
  <si>
    <t>Mesclun_HoursPerWeek</t>
  </si>
  <si>
    <t>Mesclun_Fertilizer</t>
  </si>
  <si>
    <t>Mesclun_DimRate</t>
  </si>
  <si>
    <t>TotalBeds</t>
  </si>
  <si>
    <t>beds (maximum)</t>
  </si>
  <si>
    <t>Case facts, farm inputs</t>
  </si>
  <si>
    <t>SeasonWeeks</t>
  </si>
  <si>
    <t>weeks</t>
  </si>
  <si>
    <t>FixedCost</t>
  </si>
  <si>
    <t>$ per season</t>
  </si>
  <si>
    <t>OwnHours</t>
  </si>
  <si>
    <t>hours per season</t>
  </si>
  <si>
    <t>OwnRate</t>
  </si>
  <si>
    <t>$ per hour (implied)</t>
  </si>
  <si>
    <t>TempRate</t>
  </si>
  <si>
    <t>$ per hour</t>
  </si>
  <si>
    <t>TempHoursEach</t>
  </si>
  <si>
    <t>hours per worker per season</t>
  </si>
  <si>
    <t>MaxTemps</t>
  </si>
  <si>
    <t>workers</t>
  </si>
  <si>
    <t>What-if inputs</t>
  </si>
  <si>
    <t>My own assumptions, not the case's. Used only on the What if tab.</t>
  </si>
  <si>
    <t>HourlyLoss</t>
  </si>
  <si>
    <t>efficiency lost for each hour already worked that day</t>
  </si>
  <si>
    <t>My assumption</t>
  </si>
  <si>
    <t>DailyPenalty</t>
  </si>
  <si>
    <t>efficiency lost at the start of each day, carried until the weekend</t>
  </si>
  <si>
    <t>TempDayHours</t>
  </si>
  <si>
    <t>hours per day</t>
  </si>
  <si>
    <t>1,440 hours ÷ 36 weeks = 40 hours a week</t>
  </si>
  <si>
    <t>TempDaysPerWeek</t>
  </si>
  <si>
    <t>days</t>
  </si>
  <si>
    <t>OwnDayHours</t>
  </si>
  <si>
    <t>My choice: 720 hours ÷ 36 weeks = 20 hours a week</t>
  </si>
  <si>
    <t>OwnDaysPerWeek</t>
  </si>
  <si>
    <t>Schedules: the cost one extra bed adds, one crop at a time</t>
  </si>
  <si>
    <t>Each crop is worked out as if it were the only crop planted: my 720 hours go to it first, then temporary hours. Each schedule runs past the crop's cap. Solver does not use this tab.</t>
  </si>
  <si>
    <t>Tomatoes</t>
  </si>
  <si>
    <t>Carrots</t>
  </si>
  <si>
    <t>Mescluns</t>
  </si>
  <si>
    <t>Last profitable bed</t>
  </si>
  <si>
    <t>Fewest beds to cover FixedCost alone</t>
  </si>
  <si>
    <t>Bed q</t>
  </si>
  <si>
    <t>Hours for q beds</t>
  </si>
  <si>
    <t>Extra hours bed q adds</t>
  </si>
  <si>
    <t>Labor cost for q beds</t>
  </si>
  <si>
    <t>Total cost for q beds</t>
  </si>
  <si>
    <t>Tomato_MC(q)</t>
  </si>
  <si>
    <t>Revenue per bed</t>
  </si>
  <si>
    <t>MC at or below revenue?</t>
  </si>
  <si>
    <t>Profit after FixedCost</t>
  </si>
  <si>
    <t>Carrot_MC(q)</t>
  </si>
  <si>
    <t>Mesclun_MC(q)</t>
  </si>
  <si>
    <t>Bold row: the crop's bed cap. Green: marginal cost is at or below revenue per bed.</t>
  </si>
  <si>
    <t>Optimizer: the whole farm</t>
  </si>
  <si>
    <t>Solver changes the yellow bed counts. Everything else is a formula. Labor is costed for the whole farm, then charged to each crop at the blended rate.</t>
  </si>
  <si>
    <t>Setup 1: most profit</t>
  </si>
  <si>
    <t>Solver setup 1: most profit</t>
  </si>
  <si>
    <t>Crop</t>
  </si>
  <si>
    <t>Beds</t>
  </si>
  <si>
    <t>Hours</t>
  </si>
  <si>
    <t>Revenue</t>
  </si>
  <si>
    <t>Fertilizer</t>
  </si>
  <si>
    <t>Labor cost</t>
  </si>
  <si>
    <t>Crop profit</t>
  </si>
  <si>
    <t>Set Objective</t>
  </si>
  <si>
    <t>SeasonProfit (cell B19)</t>
  </si>
  <si>
    <t>Tomato</t>
  </si>
  <si>
    <t>To</t>
  </si>
  <si>
    <t>Max</t>
  </si>
  <si>
    <t>Carrot</t>
  </si>
  <si>
    <t>By Changing Variable Cells</t>
  </si>
  <si>
    <t>B6:B8 (Tomato_Beds, Carrot_Beds, Mesclun_Beds)</t>
  </si>
  <si>
    <t>Mesclun</t>
  </si>
  <si>
    <t>Constraint</t>
  </si>
  <si>
    <t>B6:B8 = integer</t>
  </si>
  <si>
    <t>Total</t>
  </si>
  <si>
    <t>B6 &lt;= F13 (tomato cap)</t>
  </si>
  <si>
    <t>B7 &lt;= F14 (carrot cap)</t>
  </si>
  <si>
    <t>TotalHours</t>
  </si>
  <si>
    <t>Tomato + carrot + mesclun hours</t>
  </si>
  <si>
    <t>Limits Solver uses</t>
  </si>
  <si>
    <t>B8 &lt;= F15 (mesclun cap)</t>
  </si>
  <si>
    <t>OwnHoursUsed</t>
  </si>
  <si>
    <t>The smaller of TotalHours and OwnHours</t>
  </si>
  <si>
    <t>Copied from Inputs, so Solver never reads another tab</t>
  </si>
  <si>
    <t>BedsPlanted &lt;= F16 (total beds)</t>
  </si>
  <si>
    <t>TempHours</t>
  </si>
  <si>
    <t>Solver keeps this at or below TempHoursMax</t>
  </si>
  <si>
    <t>Tomato cap</t>
  </si>
  <si>
    <t>TempHours &lt;= TempHoursMax</t>
  </si>
  <si>
    <t>TempHoursMax</t>
  </si>
  <si>
    <t>MaxTemps × TempHoursEach</t>
  </si>
  <si>
    <t>Carrot cap</t>
  </si>
  <si>
    <t>Tick</t>
  </si>
  <si>
    <t>Make Unconstrained Variables Non-Negative (beds are 0 or more)</t>
  </si>
  <si>
    <t>LaborCost</t>
  </si>
  <si>
    <t>My hours at OwnRate, temp hours at TempRate</t>
  </si>
  <si>
    <t>Mesclun cap</t>
  </si>
  <si>
    <t>Solving Method</t>
  </si>
  <si>
    <t>GRG Nonlinear</t>
  </si>
  <si>
    <t>BlendedRate</t>
  </si>
  <si>
    <t>LaborCost ÷ TotalHours (0 when no hours)</t>
  </si>
  <si>
    <t>Total beds</t>
  </si>
  <si>
    <t>Saved in the file</t>
  </si>
  <si>
    <t>This setup is pre-loaded: Data &gt; Solver opens with it filled in.</t>
  </si>
  <si>
    <t>BedsPlanted</t>
  </si>
  <si>
    <t>The three bed counts added up</t>
  </si>
  <si>
    <t>Two starts</t>
  </si>
  <si>
    <t>Run once from 0 / 0 / 0 and once from 20 / 0 / 0. Both must land on the same mix.</t>
  </si>
  <si>
    <t>BedsUnused</t>
  </si>
  <si>
    <t>TotalBeds − BedsPlanted</t>
  </si>
  <si>
    <t>SeasonProfit</t>
  </si>
  <si>
    <t>Sum of crop profits − FixedCost</t>
  </si>
  <si>
    <t>Solver setup 2: fewest beds that still cover FixedCost</t>
  </si>
  <si>
    <t>BreakEvenBeds</t>
  </si>
  <si>
    <t>Share of costs</t>
  </si>
  <si>
    <t>Min</t>
  </si>
  <si>
    <t>Cost</t>
  </si>
  <si>
    <t>$</t>
  </si>
  <si>
    <t>Share of total cost</t>
  </si>
  <si>
    <t>B31:B33 (the Setup 2 bed counts)</t>
  </si>
  <si>
    <t>Labor</t>
  </si>
  <si>
    <t>B31:B33 = integer</t>
  </si>
  <si>
    <t>B31 &lt;= F13, B32 &lt;= F14, B33 &lt;= F15 (the caps)</t>
  </si>
  <si>
    <t>Fixed cost</t>
  </si>
  <si>
    <t>BreakEven_BedsPlanted &lt;= F16 (total beds)</t>
  </si>
  <si>
    <t>Total cost</t>
  </si>
  <si>
    <t>BreakEven_TempHours &lt;= BreakEven_TempHoursMax</t>
  </si>
  <si>
    <t>BreakEven_SeasonProfit &gt;= 0</t>
  </si>
  <si>
    <t>Make Unconstrained Variables Non-Negative</t>
  </si>
  <si>
    <t>Setup 2: fewest beds that still cover FixedCost</t>
  </si>
  <si>
    <t>GRG Nonlinear (if it can't find a feasible answer, start from the Setup 1 mix)</t>
  </si>
  <si>
    <t>Its own three bed counts, so it never overwrites Setup 1</t>
  </si>
  <si>
    <t>Checks</t>
  </si>
  <si>
    <t>Green means met. These test whether the workbook is built right. The published check figures are not on this tab: they are compared in the audit.</t>
  </si>
  <si>
    <t>Check</t>
  </si>
  <si>
    <t>Result</t>
  </si>
  <si>
    <t>Pass?</t>
  </si>
  <si>
    <t>Main model (Setup 1)</t>
  </si>
  <si>
    <t>Every bed count is a whole number</t>
  </si>
  <si>
    <t>Each crop is within its cap (0 to cap)</t>
  </si>
  <si>
    <t>Total beds are no more than TotalBeds</t>
  </si>
  <si>
    <t>TempHours is no more than MaxTemps × TempHoursEach</t>
  </si>
  <si>
    <t>Hand check: one tomato bed takes 99 hours</t>
  </si>
  <si>
    <t>Hand check: two tomato beds take 217.8 hours</t>
  </si>
  <si>
    <t>No error cells on Schedules</t>
  </si>
  <si>
    <t>No error cells on Optimizer</t>
  </si>
  <si>
    <t>No error cells on What if</t>
  </si>
  <si>
    <t>Each schedule runs past its cap until MC is above revenue (last row is "No")</t>
  </si>
  <si>
    <t>For information: are my 720 hours used up?</t>
  </si>
  <si>
    <t>Info</t>
  </si>
  <si>
    <t>Setup 2 (break-even)</t>
  </si>
  <si>
    <t>Whole beds, within caps</t>
  </si>
  <si>
    <t>TempHours within the limit</t>
  </si>
  <si>
    <t>Fixed cost covered (SeasonProfit 0 or more)</t>
  </si>
  <si>
    <t>What if tab</t>
  </si>
  <si>
    <t>Temp paid hours within 5,760</t>
  </si>
  <si>
    <t>Hand check: a temp's week averages 94.5%</t>
  </si>
  <si>
    <t>Hand check: my week averages 96.5%</t>
  </si>
  <si>
    <t>Checks you run by hand (record the results in the spec's Audit findings)</t>
  </si>
  <si>
    <t>• Two Solver starts: Setup 1 from 0 / 0 / 0 and from 20 / 0 / 0 land on the same mix. If not, that is a finding.</t>
  </si>
  <si>
    <t>• Farm Profit Lab: at least one marginal cost from the middle of a schedule matches the Lab.</t>
  </si>
  <si>
    <t>• Formulas, not typed numbers: click calculated cells and confirm each is a formula using the named inputs.</t>
  </si>
  <si>
    <t>• Zero fatigue: set HourlyLoss and DailyPenalty to 0%, run the What if Solver, and compare with Setup 1. Mix and profit must match exactly. Then set both back to 1%.</t>
  </si>
  <si>
    <t>• Published check figures: compare against the table in the spec's Validation rules.</t>
  </si>
  <si>
    <t>What if workers got tired throughout the week?</t>
  </si>
  <si>
    <t>A side interest project, not part of the case's model. Own bed counts and own Solver setup; nothing here changes the other tabs.</t>
  </si>
  <si>
    <t>A temp's week: efficiency by day and hour</t>
  </si>
  <si>
    <t>Day \ hour</t>
  </si>
  <si>
    <t>My week: efficiency by day and hour</t>
  </si>
  <si>
    <t>TempEfficiency</t>
  </si>
  <si>
    <t>Efficiency(day d, hour h) = 1 − DailyPenalty × (d − 1) − HourlyLoss × (h − 1)</t>
  </si>
  <si>
    <t>OwnEfficiency</t>
  </si>
  <si>
    <t>The model with tired workers</t>
  </si>
  <si>
    <t>WorkHours</t>
  </si>
  <si>
    <t>Field hours needed, from the main labor formula, for these bed counts</t>
  </si>
  <si>
    <t>OwnWork</t>
  </si>
  <si>
    <t>The smaller of WorkHours and OwnHours × OwnEfficiency</t>
  </si>
  <si>
    <t>OwnPaidHours</t>
  </si>
  <si>
    <t>OwnWork ÷ OwnEfficiency</t>
  </si>
  <si>
    <t>TempPaidHours</t>
  </si>
  <si>
    <t>(WorkHours − OwnWork) ÷ TempEfficiency</t>
  </si>
  <si>
    <t>TempPaidHoursMax</t>
  </si>
  <si>
    <t>PaidHours</t>
  </si>
  <si>
    <t>OwnPaidHours + TempPaidHours</t>
  </si>
  <si>
    <t>OwnPaidHours × OwnRate + TempPaidHours × TempRate</t>
  </si>
  <si>
    <t>LaborCost ÷ WorkHours</t>
  </si>
  <si>
    <t>Side by side</t>
  </si>
  <si>
    <t>Main model</t>
  </si>
  <si>
    <t>What if</t>
  </si>
  <si>
    <t>Tomato beds</t>
  </si>
  <si>
    <t>Carrot beds</t>
  </si>
  <si>
    <t>Mesclun beds</t>
  </si>
  <si>
    <t>Season profit</t>
  </si>
  <si>
    <t>Paid labor hours</t>
  </si>
  <si>
    <t>Solver setup for this tab</t>
  </si>
  <si>
    <t>WhatIf_SeasonProfit, Max</t>
  </si>
  <si>
    <t>B30:B32</t>
  </si>
  <si>
    <t>Constraints</t>
  </si>
  <si>
    <t>B30:B32 = integer; each at or below its cap in the Limits block; WhatIf_BedsPlanted &lt;= Total beds in the Limits block; WhatIf_TempPaidHours &lt;= WhatIf_TempPaidHoursMax</t>
  </si>
  <si>
    <t>Tick / method</t>
  </si>
  <si>
    <t>Make Unconstrained Variables Non-Negative; GRG Nonlinear. Pre-loaded in the file.</t>
  </si>
  <si>
    <t>Microsoft Excel 16.112 Answer Report</t>
  </si>
  <si>
    <t>Worksheet: [model.xlsx]Optimizer</t>
  </si>
  <si>
    <t>Report Created: 10/27/26 4:14:01 PM</t>
  </si>
  <si>
    <t>Result: Solver found a solution.  All constraints and optimality conditions are satisfied.</t>
  </si>
  <si>
    <t>Solver Engine</t>
  </si>
  <si>
    <t>Engine: GRG Nonlinear</t>
  </si>
  <si>
    <t>Solution Time: 820.187 Seconds.</t>
  </si>
  <si>
    <t>Iterations: 0 Subproblems: 2</t>
  </si>
  <si>
    <t>Solver Options</t>
  </si>
  <si>
    <t>Max Time Unlimited, Iterations Unlimited, Precision 0.000001, Use Automatic Scaling</t>
  </si>
  <si>
    <t>Convergence 0.0001, Population Size 100, Random Seed 0, Derivatives Forward, Require Bounds</t>
  </si>
  <si>
    <t>Max Subproblems Unlimited, Max Integer Sols Unlimited, Integer Tolerance 0%, Assume NonNegative</t>
  </si>
  <si>
    <t>Objective Cell (Max)</t>
  </si>
  <si>
    <t>Cell</t>
  </si>
  <si>
    <t>Original Value</t>
  </si>
  <si>
    <t>Final Value</t>
  </si>
  <si>
    <t>Variable Cells</t>
  </si>
  <si>
    <t>Integer</t>
  </si>
  <si>
    <t>Cell Value</t>
  </si>
  <si>
    <t>Formula</t>
  </si>
  <si>
    <t>Status</t>
  </si>
  <si>
    <t>Slack</t>
  </si>
  <si>
    <t>$B$19</t>
  </si>
  <si>
    <t>$B$6</t>
  </si>
  <si>
    <t>Tomato_Beds</t>
  </si>
  <si>
    <t>$B$7</t>
  </si>
  <si>
    <t>Carrot_Beds</t>
  </si>
  <si>
    <t>$B$8</t>
  </si>
  <si>
    <t>Mesclun_Beds</t>
  </si>
  <si>
    <t>$B$17</t>
  </si>
  <si>
    <t>$B$17&lt;=$F$16</t>
  </si>
  <si>
    <t>Not Binding</t>
  </si>
  <si>
    <t>$B$13</t>
  </si>
  <si>
    <t>$B$13&lt;=$B$14</t>
  </si>
  <si>
    <t>$B$7&lt;=$F$14</t>
  </si>
  <si>
    <t>Binding</t>
  </si>
  <si>
    <t>$B$8&lt;=$F$15</t>
  </si>
  <si>
    <t>$B$6&lt;=$F$13</t>
  </si>
  <si>
    <t>$B$6:$B$8=Integer</t>
  </si>
  <si>
    <t>Report Created: 10/27/26 4:15:35 PM</t>
  </si>
  <si>
    <t>Solution Time: 938.842 Seconds.</t>
  </si>
  <si>
    <t>Worksheet: [model.xlsx]What if</t>
  </si>
  <si>
    <t>Report Created: 10/27/26 4:24:38 PM</t>
  </si>
  <si>
    <t>Solution Time: 865.734 Seconds.</t>
  </si>
  <si>
    <t>$B$43</t>
  </si>
  <si>
    <t>WhatIf_SeasonProfit</t>
  </si>
  <si>
    <t>$B$30</t>
  </si>
  <si>
    <t>WhatIf_Tomato_Beds</t>
  </si>
  <si>
    <t>$B$31</t>
  </si>
  <si>
    <t>WhatIf_Carrot_Beds</t>
  </si>
  <si>
    <t>$B$32</t>
  </si>
  <si>
    <t>WhatIf_Mesclun_Beds</t>
  </si>
  <si>
    <t>$B$42</t>
  </si>
  <si>
    <t>WhatIf_BedsPlanted</t>
  </si>
  <si>
    <t>$B$42&lt;=$I$39</t>
  </si>
  <si>
    <t>$B$37</t>
  </si>
  <si>
    <t>WhatIf_TempPaidHours</t>
  </si>
  <si>
    <t>$B$37&lt;=$B$38</t>
  </si>
  <si>
    <t>$B$31&lt;=$I$37</t>
  </si>
  <si>
    <t>$B$32&lt;=$I$38</t>
  </si>
  <si>
    <t>$B$30&lt;=$I$36</t>
  </si>
  <si>
    <t>$B$30:$B$32=Integer</t>
  </si>
  <si>
    <t>Case facts, crop table (printed as 0.833, which is 50 minutes a week rounded)</t>
  </si>
  <si>
    <t>Calculated: OwnSeasonPay ÷ OwnPayBasisHours (the case prints 34.72)</t>
  </si>
  <si>
    <t>Calculated: TempSeasonPay ÷ TempHoursEach (the case prints 17.36)</t>
  </si>
  <si>
    <t>Pay (the givens)</t>
  </si>
  <si>
    <t>Case facts. OwnRate and TempRate above are worked out from these.</t>
  </si>
  <si>
    <t>OwnSeasonPay</t>
  </si>
  <si>
    <t>Case facts, farm inputs (the given behind the printed $34.72)</t>
  </si>
  <si>
    <t>OwnPayBasisHours</t>
  </si>
  <si>
    <t>paid hours per season</t>
  </si>
  <si>
    <t>Case facts, farm inputs (720 of them are in the field)</t>
  </si>
  <si>
    <t>TempSeasonPay</t>
  </si>
  <si>
    <t>$ per temp worker per season</t>
  </si>
  <si>
    <t>Case facts, farm inputs (the given behind the printed $17.36)</t>
  </si>
  <si>
    <t>Report Created: 10/29/26 5:58:33 PM</t>
  </si>
  <si>
    <t>Solution Time: 1524.107 Seconds.</t>
  </si>
  <si>
    <t>Max Time Unlimited, Iterations Unlimited, Precision 1E-06, Use Automatic Scaling</t>
  </si>
  <si>
    <t>Max Subproblems Unlimited, Max Integer Sols Unlimited, Integer Tolerance 1%, Assume NonNegative</t>
  </si>
  <si>
    <t>Report Created: 10/29/26 5:59:32 PM</t>
  </si>
  <si>
    <t>Solution Time: 1483.533 Seconds.</t>
  </si>
  <si>
    <t>Report Created: 10/29/26 6:09:18 PM</t>
  </si>
  <si>
    <t>Solution Time: 2061.059 Seconds.</t>
  </si>
  <si>
    <t>Iterations: 6 Subproblems: 2</t>
  </si>
  <si>
    <t>Objective Cell (Min)</t>
  </si>
  <si>
    <t>$B$45</t>
  </si>
  <si>
    <t>BreakEven_Tomato_Beds</t>
  </si>
  <si>
    <t>BreakEven_Carrot_Beds</t>
  </si>
  <si>
    <t>$B$33</t>
  </si>
  <si>
    <t>BreakEven_Mesclun_Beds</t>
  </si>
  <si>
    <t>BreakEven_BedsPlanted</t>
  </si>
  <si>
    <t>$B$42&lt;=$F$16</t>
  </si>
  <si>
    <t>$B$44</t>
  </si>
  <si>
    <t>BreakEven_SeasonProfit</t>
  </si>
  <si>
    <t>$B$44&gt;=0</t>
  </si>
  <si>
    <t>$B$38</t>
  </si>
  <si>
    <t>BreakEven_TempHours</t>
  </si>
  <si>
    <t>$B$38&lt;=$B$39</t>
  </si>
  <si>
    <t>$B$32&lt;=$F$14</t>
  </si>
  <si>
    <t>$B$33&lt;=$F$15</t>
  </si>
  <si>
    <t>$B$31&lt;=$F$13</t>
  </si>
  <si>
    <t>$B$31:$B$33=Integer</t>
  </si>
  <si>
    <t>Report Created: 10/29/26 7:35:47 PM</t>
  </si>
  <si>
    <t>Solution Time: 803.118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</si>
</sst>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quot;-&quot;"/>
    <numFmt numFmtId="165" formatCode="0.000"/>
    <numFmt numFmtId="166" formatCode="\$#,##0.00;\(\$#,##0.00\);&quot;-&quot;"/>
    <numFmt numFmtId="167" formatCode="#,##0.0;\(#,##0.0\);&quot;-&quot;"/>
    <numFmt numFmtId="168" formatCode="0.0%;\(0.0%\);&quot;-&quot;"/>
  </numFmts>
  <fonts count="9" x14ac:knownFonts="1">
    <font>
      <sz val="11"/>
      <color theme="1"/>
      <name val="Calibri"/>
      <family val="2"/>
      <scheme val="minor"/>
    </font>
    <font>
      <b/>
      <sz val="14"/>
      <name val="Arial"/>
      <family val="2"/>
    </font>
    <font>
      <i/>
      <sz val="10"/>
      <color rgb="FF555555"/>
      <name val="Arial"/>
      <family val="2"/>
    </font>
    <font>
      <b/>
      <sz val="10"/>
      <name val="Arial"/>
      <family val="2"/>
    </font>
    <font>
      <sz val="10"/>
      <name val="Arial"/>
      <family val="2"/>
    </font>
    <font>
      <sz val="10"/>
      <color rgb="FF0000FF"/>
      <name val="Arial"/>
      <family val="2"/>
    </font>
    <font>
      <b/>
      <sz val="11"/>
      <name val="Arial"/>
      <family val="2"/>
    </font>
    <font>
      <b/>
      <sz val="11"/>
      <color theme="1"/>
      <name val="Calibri"/>
      <family val="2"/>
      <scheme val="minor"/>
    </font>
    <font>
      <b/>
      <sz val="11"/>
      <color indexed="18"/>
      <name val="Calibri"/>
      <family val="2"/>
      <scheme val="minor"/>
    </font>
  </fonts>
  <fills count="4">
    <fill>
      <patternFill patternType="none"/>
    </fill>
    <fill>
      <patternFill patternType="gray125"/>
    </fill>
    <fill>
      <patternFill patternType="solid">
        <fgColor rgb="FFDDEBF7"/>
      </patternFill>
    </fill>
    <fill>
      <patternFill patternType="solid">
        <fgColor rgb="FFFFFF00"/>
      </patternFill>
    </fill>
  </fills>
  <borders count="5">
    <border>
      <left/>
      <right/>
      <top/>
      <bottom/>
      <diagonal/>
    </border>
    <border>
      <left style="thin">
        <color rgb="FF999999"/>
      </left>
      <right style="thin">
        <color rgb="FF999999"/>
      </right>
      <top style="thin">
        <color rgb="FF999999"/>
      </top>
      <bottom style="thin">
        <color rgb="FF999999"/>
      </bottom>
      <diagonal/>
    </border>
    <border>
      <left/>
      <right/>
      <top style="medium">
        <color indexed="23"/>
      </top>
      <bottom style="medium">
        <color indexed="23"/>
      </bottom>
      <diagonal/>
    </border>
    <border>
      <left/>
      <right/>
      <top style="thin">
        <color indexed="23"/>
      </top>
      <bottom style="medium">
        <color indexed="23"/>
      </bottom>
      <diagonal/>
    </border>
    <border>
      <left/>
      <right/>
      <top style="thin">
        <color indexed="23"/>
      </top>
      <bottom/>
      <diagonal/>
    </border>
  </borders>
  <cellStyleXfs count="1">
    <xf numFmtId="0" fontId="0" fillId="0" borderId="0"/>
  </cellStyleXfs>
  <cellXfs count="51">
    <xf numFmtId="0" fontId="0" fillId="0" borderId="0" xfId="0"/>
    <xf numFmtId="0" fontId="1" fillId="0" borderId="0" xfId="0" applyFont="1"/>
    <xf numFmtId="0" fontId="6" fillId="0" borderId="0" xfId="0" applyFont="1" applyAlignment="1">
      <alignment vertical="top" wrapText="1"/>
    </xf>
    <xf numFmtId="0" fontId="4" fillId="0" borderId="0" xfId="0" applyFont="1" applyAlignment="1">
      <alignment vertical="top" wrapText="1"/>
    </xf>
    <xf numFmtId="0" fontId="2" fillId="0" borderId="0" xfId="0" applyFont="1"/>
    <xf numFmtId="0" fontId="3" fillId="2" borderId="1" xfId="0" applyFont="1" applyFill="1" applyBorder="1" applyAlignment="1">
      <alignment vertical="center" wrapText="1"/>
    </xf>
    <xf numFmtId="0" fontId="4" fillId="0" borderId="1" xfId="0" applyFont="1" applyBorder="1"/>
    <xf numFmtId="1" fontId="5" fillId="0" borderId="1" xfId="0" applyNumberFormat="1" applyFont="1" applyBorder="1"/>
    <xf numFmtId="164" fontId="5" fillId="0" borderId="1" xfId="0" applyNumberFormat="1" applyFont="1" applyBorder="1"/>
    <xf numFmtId="165" fontId="5" fillId="0" borderId="1" xfId="0" applyNumberFormat="1" applyFont="1" applyBorder="1"/>
    <xf numFmtId="10" fontId="5" fillId="0" borderId="1" xfId="0" applyNumberFormat="1" applyFont="1" applyBorder="1"/>
    <xf numFmtId="3" fontId="5" fillId="0" borderId="1" xfId="0" applyNumberFormat="1" applyFont="1" applyBorder="1"/>
    <xf numFmtId="0" fontId="6" fillId="0" borderId="0" xfId="0" applyFont="1"/>
    <xf numFmtId="0" fontId="3" fillId="0" borderId="0" xfId="0" applyFont="1"/>
    <xf numFmtId="1" fontId="3" fillId="3" borderId="1" xfId="0" applyNumberFormat="1" applyFont="1" applyFill="1" applyBorder="1"/>
    <xf numFmtId="1" fontId="4" fillId="0" borderId="1" xfId="0" applyNumberFormat="1" applyFont="1" applyBorder="1"/>
    <xf numFmtId="167" fontId="4" fillId="0" borderId="1" xfId="0" applyNumberFormat="1" applyFont="1" applyBorder="1"/>
    <xf numFmtId="166" fontId="4" fillId="0" borderId="1" xfId="0" applyNumberFormat="1" applyFont="1" applyBorder="1"/>
    <xf numFmtId="164" fontId="4" fillId="0" borderId="1" xfId="0" applyNumberFormat="1" applyFont="1" applyBorder="1"/>
    <xf numFmtId="0" fontId="4" fillId="0" borderId="0" xfId="0" applyFont="1"/>
    <xf numFmtId="1" fontId="5" fillId="3" borderId="1" xfId="0" applyNumberFormat="1" applyFont="1" applyFill="1" applyBorder="1"/>
    <xf numFmtId="0" fontId="3" fillId="0" borderId="1" xfId="0" applyFont="1" applyBorder="1"/>
    <xf numFmtId="1" fontId="3" fillId="0" borderId="1" xfId="0" applyNumberFormat="1" applyFont="1" applyBorder="1"/>
    <xf numFmtId="167" fontId="3" fillId="0" borderId="1" xfId="0" applyNumberFormat="1" applyFont="1" applyBorder="1"/>
    <xf numFmtId="164" fontId="3" fillId="0" borderId="1" xfId="0" applyNumberFormat="1" applyFont="1" applyBorder="1"/>
    <xf numFmtId="1" fontId="4" fillId="3" borderId="1" xfId="0" applyNumberFormat="1" applyFont="1" applyFill="1" applyBorder="1"/>
    <xf numFmtId="164" fontId="3" fillId="3" borderId="1" xfId="0" applyNumberFormat="1" applyFont="1" applyFill="1" applyBorder="1"/>
    <xf numFmtId="168" fontId="4" fillId="3" borderId="1" xfId="0" applyNumberFormat="1" applyFont="1" applyFill="1" applyBorder="1"/>
    <xf numFmtId="168" fontId="3" fillId="0" borderId="1" xfId="0" applyNumberFormat="1" applyFont="1" applyBorder="1"/>
    <xf numFmtId="0" fontId="2" fillId="0" borderId="1" xfId="0" applyFont="1" applyBorder="1"/>
    <xf numFmtId="168" fontId="4" fillId="0" borderId="1" xfId="0" applyNumberFormat="1" applyFont="1" applyBorder="1"/>
    <xf numFmtId="0" fontId="3" fillId="2" borderId="1" xfId="0" applyFont="1" applyFill="1" applyBorder="1"/>
    <xf numFmtId="1" fontId="3" fillId="2" borderId="1" xfId="0" applyNumberFormat="1" applyFont="1" applyFill="1" applyBorder="1"/>
    <xf numFmtId="9" fontId="4" fillId="0" borderId="1" xfId="0" applyNumberFormat="1" applyFont="1" applyBorder="1"/>
    <xf numFmtId="167" fontId="3" fillId="3" borderId="1" xfId="0" applyNumberFormat="1" applyFont="1" applyFill="1" applyBorder="1"/>
    <xf numFmtId="0" fontId="7" fillId="0" borderId="0" xfId="0" applyFont="1"/>
    <xf numFmtId="0" fontId="0" fillId="0" borderId="3" xfId="0" applyBorder="1"/>
    <xf numFmtId="0" fontId="8" fillId="0" borderId="2" xfId="0" applyFont="1" applyBorder="1" applyAlignment="1">
      <alignment horizontal="center"/>
    </xf>
    <xf numFmtId="0" fontId="0" fillId="0" borderId="4" xfId="0" applyBorder="1"/>
    <xf numFmtId="164" fontId="0" fillId="0" borderId="3" xfId="0" applyNumberFormat="1" applyBorder="1"/>
    <xf numFmtId="1" fontId="0" fillId="0" borderId="4" xfId="0" applyNumberFormat="1" applyBorder="1"/>
    <xf numFmtId="1" fontId="0" fillId="0" borderId="3" xfId="0" applyNumberFormat="1" applyBorder="1"/>
    <xf numFmtId="167" fontId="0" fillId="0" borderId="4" xfId="0" applyNumberFormat="1" applyBorder="1"/>
    <xf numFmtId="0" fontId="0" fillId="0" borderId="3" xfId="0" applyFill="1" applyBorder="1" applyAlignment="1"/>
    <xf numFmtId="0" fontId="8" fillId="0" borderId="2" xfId="0" applyFont="1" applyFill="1" applyBorder="1" applyAlignment="1">
      <alignment horizontal="center"/>
    </xf>
    <xf numFmtId="0" fontId="0" fillId="0" borderId="4" xfId="0" applyFill="1" applyBorder="1" applyAlignment="1"/>
    <xf numFmtId="164" fontId="0" fillId="0" borderId="3" xfId="0" applyNumberFormat="1" applyFill="1" applyBorder="1" applyAlignment="1"/>
    <xf numFmtId="1" fontId="0" fillId="0" borderId="4" xfId="0" applyNumberFormat="1" applyFill="1" applyBorder="1" applyAlignment="1"/>
    <xf numFmtId="1" fontId="0" fillId="0" borderId="3" xfId="0" applyNumberFormat="1" applyFill="1" applyBorder="1" applyAlignment="1"/>
    <xf numFmtId="167" fontId="0" fillId="0" borderId="4" xfId="0" applyNumberFormat="1" applyFill="1" applyBorder="1" applyAlignment="1"/>
    <xf numFmtId="164" fontId="0" fillId="0" borderId="4" xfId="0" applyNumberFormat="1" applyFill="1" applyBorder="1" applyAlignment="1"/>
  </cellXfs>
  <cellStyles count="1">
    <cellStyle name="Normal" xfId="0" builtinId="0"/>
  </cellStyles>
  <dxfs count="8">
    <dxf>
      <fill>
        <patternFill patternType="solid">
          <fgColor rgb="FFFFC7CE"/>
        </patternFill>
      </fill>
    </dxf>
    <dxf>
      <fill>
        <patternFill patternType="solid">
          <fgColor rgb="FFC6EFCE"/>
        </patternFill>
      </fill>
    </dxf>
    <dxf>
      <fill>
        <patternFill patternType="solid">
          <fgColor rgb="FFC6EFCE"/>
        </patternFill>
      </fill>
    </dxf>
    <dxf>
      <font>
        <b/>
      </font>
    </dxf>
    <dxf>
      <fill>
        <patternFill patternType="solid">
          <fgColor rgb="FFC6EFCE"/>
        </patternFill>
      </fill>
    </dxf>
    <dxf>
      <font>
        <b/>
      </font>
    </dxf>
    <dxf>
      <fill>
        <patternFill patternType="solid">
          <fgColor rgb="FFC6EFCE"/>
        </patternFill>
      </fill>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workbookViewId="0"/>
  </sheetViews>
  <sheetFormatPr baseColWidth="10" defaultColWidth="8.83203125" defaultRowHeight="15" x14ac:dyDescent="0.2"/>
  <cols>
    <col min="1" max="1" width="110" customWidth="1"/>
  </cols>
  <sheetData>
    <row r="1" spans="1:1" ht="18" x14ac:dyDescent="0.2">
      <c r="A1" s="1" t="s">
        <v>0</v>
      </c>
    </row>
    <row r="3" spans="1:1" x14ac:dyDescent="0.2">
      <c r="A3" s="2" t="s">
        <v>1</v>
      </c>
    </row>
    <row r="4" spans="1:1" ht="42" x14ac:dyDescent="0.2">
      <c r="A4" s="3" t="s">
        <v>2</v>
      </c>
    </row>
    <row r="5" spans="1:1" x14ac:dyDescent="0.2">
      <c r="A5" s="3"/>
    </row>
    <row r="6" spans="1:1" x14ac:dyDescent="0.2">
      <c r="A6" s="2" t="s">
        <v>3</v>
      </c>
    </row>
    <row r="7" spans="1:1" x14ac:dyDescent="0.2">
      <c r="A7" s="3" t="s">
        <v>4</v>
      </c>
    </row>
    <row r="8" spans="1:1" ht="28" x14ac:dyDescent="0.2">
      <c r="A8" s="3" t="s">
        <v>5</v>
      </c>
    </row>
    <row r="9" spans="1:1" ht="28" x14ac:dyDescent="0.2">
      <c r="A9" s="3" t="s">
        <v>6</v>
      </c>
    </row>
    <row r="10" spans="1:1" x14ac:dyDescent="0.2">
      <c r="A10" s="3" t="s">
        <v>7</v>
      </c>
    </row>
    <row r="11" spans="1:1" x14ac:dyDescent="0.2">
      <c r="A11" s="3" t="s">
        <v>8</v>
      </c>
    </row>
    <row r="12" spans="1:1" x14ac:dyDescent="0.2">
      <c r="A12" s="3"/>
    </row>
    <row r="13" spans="1:1" x14ac:dyDescent="0.2">
      <c r="A13" s="2" t="s">
        <v>9</v>
      </c>
    </row>
    <row r="14" spans="1:1" x14ac:dyDescent="0.2">
      <c r="A14" s="3" t="s">
        <v>10</v>
      </c>
    </row>
    <row r="15" spans="1:1" x14ac:dyDescent="0.2">
      <c r="A15" s="3"/>
    </row>
    <row r="16" spans="1:1" x14ac:dyDescent="0.2">
      <c r="A16" s="2" t="s">
        <v>11</v>
      </c>
    </row>
    <row r="17" spans="1:1" ht="42" x14ac:dyDescent="0.2">
      <c r="A17" s="3" t="s">
        <v>12</v>
      </c>
    </row>
    <row r="18" spans="1:1" x14ac:dyDescent="0.2">
      <c r="A18" s="3"/>
    </row>
    <row r="19" spans="1:1" x14ac:dyDescent="0.2">
      <c r="A19" s="2" t="s">
        <v>13</v>
      </c>
    </row>
    <row r="20" spans="1:1" x14ac:dyDescent="0.2">
      <c r="A20" s="3" t="s">
        <v>14</v>
      </c>
    </row>
    <row r="21" spans="1:1" x14ac:dyDescent="0.2">
      <c r="A21" s="3"/>
    </row>
    <row r="22" spans="1:1" x14ac:dyDescent="0.2">
      <c r="A22" s="2" t="s">
        <v>15</v>
      </c>
    </row>
    <row r="23" spans="1:1" x14ac:dyDescent="0.2">
      <c r="A23" s="3" t="s">
        <v>16</v>
      </c>
    </row>
    <row r="24" spans="1:1" x14ac:dyDescent="0.2">
      <c r="A24" s="3"/>
    </row>
    <row r="25" spans="1:1" x14ac:dyDescent="0.2">
      <c r="A25" s="2" t="s">
        <v>17</v>
      </c>
    </row>
    <row r="26" spans="1:1" x14ac:dyDescent="0.2">
      <c r="A26" s="3"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workbookViewId="0"/>
  </sheetViews>
  <sheetFormatPr baseColWidth="10" defaultColWidth="8.83203125" defaultRowHeight="15" x14ac:dyDescent="0.2"/>
  <cols>
    <col min="1" max="1" width="24" customWidth="1"/>
    <col min="2" max="2" width="12" customWidth="1"/>
    <col min="3" max="3" width="52" customWidth="1"/>
    <col min="4" max="4" width="50" customWidth="1"/>
  </cols>
  <sheetData>
    <row r="1" spans="1:4" ht="18" x14ac:dyDescent="0.2">
      <c r="A1" s="1" t="s">
        <v>19</v>
      </c>
    </row>
    <row r="2" spans="1:4" x14ac:dyDescent="0.2">
      <c r="A2" s="4" t="s">
        <v>20</v>
      </c>
    </row>
    <row r="4" spans="1:4" x14ac:dyDescent="0.2">
      <c r="A4" s="5" t="s">
        <v>21</v>
      </c>
      <c r="B4" s="5" t="s">
        <v>22</v>
      </c>
      <c r="C4" s="5" t="s">
        <v>23</v>
      </c>
      <c r="D4" s="5" t="s">
        <v>24</v>
      </c>
    </row>
    <row r="5" spans="1:4" x14ac:dyDescent="0.2">
      <c r="A5" s="6" t="s">
        <v>25</v>
      </c>
      <c r="B5" s="7">
        <v>20</v>
      </c>
      <c r="C5" s="6" t="s">
        <v>26</v>
      </c>
      <c r="D5" s="6" t="s">
        <v>27</v>
      </c>
    </row>
    <row r="6" spans="1:4" x14ac:dyDescent="0.2">
      <c r="A6" s="6" t="s">
        <v>28</v>
      </c>
      <c r="B6" s="8">
        <v>8800</v>
      </c>
      <c r="C6" s="6" t="s">
        <v>29</v>
      </c>
      <c r="D6" s="6" t="s">
        <v>27</v>
      </c>
    </row>
    <row r="7" spans="1:4" x14ac:dyDescent="0.2">
      <c r="A7" s="6" t="s">
        <v>30</v>
      </c>
      <c r="B7" s="9">
        <v>2.5</v>
      </c>
      <c r="C7" s="6" t="s">
        <v>31</v>
      </c>
      <c r="D7" s="6" t="s">
        <v>27</v>
      </c>
    </row>
    <row r="8" spans="1:4" x14ac:dyDescent="0.2">
      <c r="A8" s="6" t="s">
        <v>32</v>
      </c>
      <c r="B8" s="8">
        <v>880</v>
      </c>
      <c r="C8" s="6" t="s">
        <v>29</v>
      </c>
      <c r="D8" s="6" t="s">
        <v>27</v>
      </c>
    </row>
    <row r="9" spans="1:4" x14ac:dyDescent="0.2">
      <c r="A9" s="6" t="s">
        <v>33</v>
      </c>
      <c r="B9" s="10">
        <v>0.1</v>
      </c>
      <c r="C9" s="6" t="s">
        <v>34</v>
      </c>
      <c r="D9" s="6" t="s">
        <v>27</v>
      </c>
    </row>
    <row r="10" spans="1:4" x14ac:dyDescent="0.2">
      <c r="A10" s="6" t="s">
        <v>35</v>
      </c>
      <c r="B10" s="7">
        <v>20</v>
      </c>
      <c r="C10" s="6" t="s">
        <v>26</v>
      </c>
      <c r="D10" s="6" t="s">
        <v>27</v>
      </c>
    </row>
    <row r="11" spans="1:4" x14ac:dyDescent="0.2">
      <c r="A11" s="6" t="s">
        <v>36</v>
      </c>
      <c r="B11" s="8">
        <v>2094</v>
      </c>
      <c r="C11" s="6" t="s">
        <v>29</v>
      </c>
      <c r="D11" s="6" t="s">
        <v>27</v>
      </c>
    </row>
    <row r="12" spans="1:4" x14ac:dyDescent="0.2">
      <c r="A12" s="6" t="s">
        <v>37</v>
      </c>
      <c r="B12" s="9">
        <f>50/60</f>
        <v>0.83333333333333337</v>
      </c>
      <c r="C12" s="6" t="s">
        <v>31</v>
      </c>
      <c r="D12" s="6" t="s">
        <v>307</v>
      </c>
    </row>
    <row r="13" spans="1:4" x14ac:dyDescent="0.2">
      <c r="A13" s="6" t="s">
        <v>38</v>
      </c>
      <c r="B13" s="8">
        <v>440</v>
      </c>
      <c r="C13" s="6" t="s">
        <v>29</v>
      </c>
      <c r="D13" s="6" t="s">
        <v>27</v>
      </c>
    </row>
    <row r="14" spans="1:4" x14ac:dyDescent="0.2">
      <c r="A14" s="6" t="s">
        <v>39</v>
      </c>
      <c r="B14" s="10">
        <v>2.5000000000000001E-2</v>
      </c>
      <c r="C14" s="6" t="s">
        <v>34</v>
      </c>
      <c r="D14" s="6" t="s">
        <v>27</v>
      </c>
    </row>
    <row r="15" spans="1:4" x14ac:dyDescent="0.2">
      <c r="A15" s="6" t="s">
        <v>40</v>
      </c>
      <c r="B15" s="7">
        <v>30</v>
      </c>
      <c r="C15" s="6" t="s">
        <v>26</v>
      </c>
      <c r="D15" s="6" t="s">
        <v>27</v>
      </c>
    </row>
    <row r="16" spans="1:4" x14ac:dyDescent="0.2">
      <c r="A16" s="6" t="s">
        <v>41</v>
      </c>
      <c r="B16" s="8">
        <v>2700</v>
      </c>
      <c r="C16" s="6" t="s">
        <v>29</v>
      </c>
      <c r="D16" s="6" t="s">
        <v>27</v>
      </c>
    </row>
    <row r="17" spans="1:4" x14ac:dyDescent="0.2">
      <c r="A17" s="6" t="s">
        <v>42</v>
      </c>
      <c r="B17" s="9">
        <v>1.25</v>
      </c>
      <c r="C17" s="6" t="s">
        <v>31</v>
      </c>
      <c r="D17" s="6" t="s">
        <v>27</v>
      </c>
    </row>
    <row r="18" spans="1:4" x14ac:dyDescent="0.2">
      <c r="A18" s="6" t="s">
        <v>43</v>
      </c>
      <c r="B18" s="8">
        <v>880</v>
      </c>
      <c r="C18" s="6" t="s">
        <v>29</v>
      </c>
      <c r="D18" s="6" t="s">
        <v>27</v>
      </c>
    </row>
    <row r="19" spans="1:4" x14ac:dyDescent="0.2">
      <c r="A19" s="6" t="s">
        <v>44</v>
      </c>
      <c r="B19" s="10">
        <v>1.2500000000000001E-2</v>
      </c>
      <c r="C19" s="6" t="s">
        <v>34</v>
      </c>
      <c r="D19" s="6" t="s">
        <v>27</v>
      </c>
    </row>
    <row r="20" spans="1:4" x14ac:dyDescent="0.2">
      <c r="A20" s="6" t="s">
        <v>45</v>
      </c>
      <c r="B20" s="7">
        <v>64</v>
      </c>
      <c r="C20" s="6" t="s">
        <v>46</v>
      </c>
      <c r="D20" s="6" t="s">
        <v>47</v>
      </c>
    </row>
    <row r="21" spans="1:4" x14ac:dyDescent="0.2">
      <c r="A21" s="6" t="s">
        <v>48</v>
      </c>
      <c r="B21" s="7">
        <v>36</v>
      </c>
      <c r="C21" s="6" t="s">
        <v>49</v>
      </c>
      <c r="D21" s="6" t="s">
        <v>47</v>
      </c>
    </row>
    <row r="22" spans="1:4" x14ac:dyDescent="0.2">
      <c r="A22" s="6" t="s">
        <v>50</v>
      </c>
      <c r="B22" s="8">
        <v>20000</v>
      </c>
      <c r="C22" s="6" t="s">
        <v>51</v>
      </c>
      <c r="D22" s="6" t="s">
        <v>47</v>
      </c>
    </row>
    <row r="23" spans="1:4" x14ac:dyDescent="0.2">
      <c r="A23" s="6" t="s">
        <v>52</v>
      </c>
      <c r="B23" s="11">
        <v>720</v>
      </c>
      <c r="C23" s="6" t="s">
        <v>53</v>
      </c>
      <c r="D23" s="6" t="s">
        <v>47</v>
      </c>
    </row>
    <row r="24" spans="1:4" x14ac:dyDescent="0.2">
      <c r="A24" s="6" t="s">
        <v>54</v>
      </c>
      <c r="B24" s="17">
        <f>OwnSeasonPay/OwnPayBasisHours</f>
        <v>34.722222222222221</v>
      </c>
      <c r="C24" s="6" t="s">
        <v>55</v>
      </c>
      <c r="D24" s="6" t="s">
        <v>308</v>
      </c>
    </row>
    <row r="25" spans="1:4" x14ac:dyDescent="0.2">
      <c r="A25" s="6" t="s">
        <v>56</v>
      </c>
      <c r="B25" s="17">
        <f>TempSeasonPay/TempHoursEach</f>
        <v>17.361111111111111</v>
      </c>
      <c r="C25" s="6" t="s">
        <v>57</v>
      </c>
      <c r="D25" s="6" t="s">
        <v>309</v>
      </c>
    </row>
    <row r="26" spans="1:4" x14ac:dyDescent="0.2">
      <c r="A26" s="6" t="s">
        <v>58</v>
      </c>
      <c r="B26" s="11">
        <v>1440</v>
      </c>
      <c r="C26" s="6" t="s">
        <v>59</v>
      </c>
      <c r="D26" s="6" t="s">
        <v>47</v>
      </c>
    </row>
    <row r="27" spans="1:4" x14ac:dyDescent="0.2">
      <c r="A27" s="6" t="s">
        <v>60</v>
      </c>
      <c r="B27" s="7">
        <v>4</v>
      </c>
      <c r="C27" s="6" t="s">
        <v>61</v>
      </c>
      <c r="D27" s="6" t="s">
        <v>47</v>
      </c>
    </row>
    <row r="29" spans="1:4" x14ac:dyDescent="0.2">
      <c r="A29" s="12" t="s">
        <v>62</v>
      </c>
      <c r="B29" s="4" t="s">
        <v>63</v>
      </c>
    </row>
    <row r="30" spans="1:4" x14ac:dyDescent="0.2">
      <c r="A30" s="5" t="s">
        <v>21</v>
      </c>
      <c r="B30" s="5" t="s">
        <v>22</v>
      </c>
      <c r="C30" s="5" t="s">
        <v>23</v>
      </c>
      <c r="D30" s="5" t="s">
        <v>24</v>
      </c>
    </row>
    <row r="31" spans="1:4" x14ac:dyDescent="0.2">
      <c r="A31" s="6" t="s">
        <v>64</v>
      </c>
      <c r="B31" s="10">
        <v>0.01</v>
      </c>
      <c r="C31" s="6" t="s">
        <v>65</v>
      </c>
      <c r="D31" s="6" t="s">
        <v>66</v>
      </c>
    </row>
    <row r="32" spans="1:4" x14ac:dyDescent="0.2">
      <c r="A32" s="6" t="s">
        <v>67</v>
      </c>
      <c r="B32" s="10">
        <v>0.01</v>
      </c>
      <c r="C32" s="6" t="s">
        <v>68</v>
      </c>
      <c r="D32" s="6" t="s">
        <v>66</v>
      </c>
    </row>
    <row r="33" spans="1:4" x14ac:dyDescent="0.2">
      <c r="A33" s="6" t="s">
        <v>69</v>
      </c>
      <c r="B33" s="7">
        <v>8</v>
      </c>
      <c r="C33" s="6" t="s">
        <v>70</v>
      </c>
      <c r="D33" s="6" t="s">
        <v>71</v>
      </c>
    </row>
    <row r="34" spans="1:4" x14ac:dyDescent="0.2">
      <c r="A34" s="6" t="s">
        <v>72</v>
      </c>
      <c r="B34" s="7">
        <v>5</v>
      </c>
      <c r="C34" s="6" t="s">
        <v>73</v>
      </c>
      <c r="D34" s="6" t="s">
        <v>71</v>
      </c>
    </row>
    <row r="35" spans="1:4" x14ac:dyDescent="0.2">
      <c r="A35" s="6" t="s">
        <v>74</v>
      </c>
      <c r="B35" s="7">
        <v>4</v>
      </c>
      <c r="C35" s="6" t="s">
        <v>70</v>
      </c>
      <c r="D35" s="6" t="s">
        <v>75</v>
      </c>
    </row>
    <row r="36" spans="1:4" x14ac:dyDescent="0.2">
      <c r="A36" s="6" t="s">
        <v>76</v>
      </c>
      <c r="B36" s="7">
        <v>5</v>
      </c>
      <c r="C36" s="6" t="s">
        <v>73</v>
      </c>
      <c r="D36" s="6" t="s">
        <v>75</v>
      </c>
    </row>
    <row r="38" spans="1:4" x14ac:dyDescent="0.2">
      <c r="A38" s="12" t="s">
        <v>310</v>
      </c>
      <c r="B38" s="4" t="s">
        <v>311</v>
      </c>
    </row>
    <row r="39" spans="1:4" x14ac:dyDescent="0.2">
      <c r="A39" s="5" t="s">
        <v>21</v>
      </c>
      <c r="B39" s="5" t="s">
        <v>22</v>
      </c>
      <c r="C39" s="5" t="s">
        <v>23</v>
      </c>
      <c r="D39" s="5" t="s">
        <v>24</v>
      </c>
    </row>
    <row r="40" spans="1:4" x14ac:dyDescent="0.2">
      <c r="A40" s="6" t="s">
        <v>312</v>
      </c>
      <c r="B40" s="8">
        <v>50000</v>
      </c>
      <c r="C40" s="6" t="s">
        <v>51</v>
      </c>
      <c r="D40" s="6" t="s">
        <v>313</v>
      </c>
    </row>
    <row r="41" spans="1:4" x14ac:dyDescent="0.2">
      <c r="A41" s="6" t="s">
        <v>314</v>
      </c>
      <c r="B41" s="11">
        <v>1440</v>
      </c>
      <c r="C41" s="6" t="s">
        <v>315</v>
      </c>
      <c r="D41" s="6" t="s">
        <v>316</v>
      </c>
    </row>
    <row r="42" spans="1:4" x14ac:dyDescent="0.2">
      <c r="A42" s="6" t="s">
        <v>317</v>
      </c>
      <c r="B42" s="8">
        <v>25000</v>
      </c>
      <c r="C42" s="6" t="s">
        <v>318</v>
      </c>
      <c r="D42" s="6" t="s">
        <v>319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0"/>
  <sheetViews>
    <sheetView workbookViewId="0">
      <pane ySplit="7" topLeftCell="A8" activePane="bottomLeft" state="frozen"/>
      <selection pane="bottomLeft"/>
    </sheetView>
  </sheetViews>
  <sheetFormatPr baseColWidth="10" defaultColWidth="8.83203125" defaultRowHeight="15" x14ac:dyDescent="0.2"/>
  <cols>
    <col min="1" max="1" width="7" customWidth="1"/>
    <col min="2" max="3" width="12" customWidth="1"/>
    <col min="4" max="6" width="13" customWidth="1"/>
    <col min="7" max="7" width="11" customWidth="1"/>
    <col min="8" max="8" width="12" customWidth="1"/>
    <col min="9" max="9" width="13" customWidth="1"/>
    <col min="10" max="10" width="3" customWidth="1"/>
    <col min="11" max="11" width="7" customWidth="1"/>
    <col min="12" max="13" width="12" customWidth="1"/>
    <col min="14" max="16" width="13" customWidth="1"/>
    <col min="17" max="17" width="11" customWidth="1"/>
    <col min="18" max="18" width="12" customWidth="1"/>
    <col min="19" max="19" width="13" customWidth="1"/>
    <col min="20" max="20" width="3" customWidth="1"/>
    <col min="21" max="21" width="7" customWidth="1"/>
    <col min="22" max="23" width="12" customWidth="1"/>
    <col min="24" max="26" width="13" customWidth="1"/>
    <col min="27" max="27" width="11" customWidth="1"/>
    <col min="28" max="28" width="12" customWidth="1"/>
    <col min="29" max="29" width="13" customWidth="1"/>
    <col min="30" max="30" width="3" customWidth="1"/>
  </cols>
  <sheetData>
    <row r="1" spans="1:29" ht="18" x14ac:dyDescent="0.2">
      <c r="A1" s="1" t="s">
        <v>77</v>
      </c>
    </row>
    <row r="2" spans="1:29" x14ac:dyDescent="0.2">
      <c r="A2" s="4" t="s">
        <v>78</v>
      </c>
    </row>
    <row r="3" spans="1:29" x14ac:dyDescent="0.2">
      <c r="A3" s="13" t="inlineStr">
        <is>
          <t>Last profitable bed within the cap</t>
        </is>
      </c>
      <c r="D3" s="14">
        <f>_xlfn.MAXIFS(A$9:A$58,H$9:H$58,"Yes",A$9:A$58,"&lt;="&amp;Tomato_Cap)</f>
        <v>10</v>
      </c>
      <c r="K3" s="13" t="inlineStr">
        <is>
          <t>Last profitable bed within the cap</t>
        </is>
      </c>
      <c r="N3" s="14">
        <f>_xlfn.MAXIFS(K$9:K$58,R$9:R$58,"Yes",K$9:K$58,"&lt;="&amp;Carrot_Cap)</f>
        <v>20</v>
      </c>
      <c r="U3" s="13" t="inlineStr">
        <is>
          <t>Last profitable bed within the cap</t>
        </is>
      </c>
      <c r="X3" s="14">
        <f>_xlfn.MAXIFS(U$9:U$58,AB$9:AB$58,"Yes",U$9:U$58,"&lt;="&amp;Mesclun_Cap)</f>
        <v>30</v>
      </c>
    </row>
    <row r="4" spans="1:29" x14ac:dyDescent="0.2">
      <c r="A4" s="12" t="s">
        <v>79</v>
      </c>
      <c r="K4" s="12" t="s">
        <v>80</v>
      </c>
      <c r="U4" s="12" t="s">
        <v>81</v>
      </c>
    </row>
    <row r="5" spans="1:29" x14ac:dyDescent="0.2">
      <c r="A5" s="13" t="s">
        <v>82</v>
      </c>
      <c r="D5" s="14">
        <f>_xlfn.MAXIFS(A$9:A$58,H$9:H$58,"Yes")</f>
        <v>10</v>
      </c>
      <c r="K5" s="13" t="s">
        <v>82</v>
      </c>
      <c r="N5" s="14">
        <f>_xlfn.MAXIFS(K$9:K$58,R$9:R$58,"Yes")</f>
        <v>26</v>
      </c>
      <c r="U5" s="13" t="s">
        <v>82</v>
      </c>
      <c r="X5" s="14">
        <f>_xlfn.MAXIFS(U$9:U$58,AB$9:AB$58,"Yes")</f>
        <v>37</v>
      </c>
    </row>
    <row r="6" spans="1:29" x14ac:dyDescent="0.2">
      <c r="A6" s="13" t="s">
        <v>83</v>
      </c>
      <c r="D6" s="14">
        <f>IF(COUNTIF(I$9:I$58,"&gt;=0")=0,"None",_xlfn.MINIFS(A$9:A$58,I$9:I$58,"&gt;=0"))</f>
        <v>7</v>
      </c>
      <c r="K6" s="13" t="s">
        <v>83</v>
      </c>
      <c r="N6" s="14" t="str">
        <f>IF(COUNTIF(S$9:S$58,"&gt;=0")=0,"None",_xlfn.MINIFS(K$9:K$58,S$9:S$58,"&gt;=0"))</f>
        <v>None</v>
      </c>
      <c r="U6" s="13" t="s">
        <v>83</v>
      </c>
      <c r="X6" s="14" t="str">
        <f>IF(COUNTIF(AC$9:AC$58,"&gt;=0")=0,"None",_xlfn.MINIFS(U$9:U$58,AC$9:AC$58,"&gt;=0"))</f>
        <v>None</v>
      </c>
    </row>
    <row r="7" spans="1:29" ht="42" customHeight="1" x14ac:dyDescent="0.2">
      <c r="A7" s="5" t="s">
        <v>84</v>
      </c>
      <c r="B7" s="5" t="s">
        <v>85</v>
      </c>
      <c r="C7" s="5" t="s">
        <v>86</v>
      </c>
      <c r="D7" s="5" t="s">
        <v>87</v>
      </c>
      <c r="E7" s="5" t="s">
        <v>88</v>
      </c>
      <c r="F7" s="5" t="s">
        <v>89</v>
      </c>
      <c r="G7" s="5" t="s">
        <v>90</v>
      </c>
      <c r="H7" s="5" t="s">
        <v>91</v>
      </c>
      <c r="I7" s="5" t="s">
        <v>92</v>
      </c>
      <c r="K7" s="5" t="s">
        <v>84</v>
      </c>
      <c r="L7" s="5" t="s">
        <v>85</v>
      </c>
      <c r="M7" s="5" t="s">
        <v>86</v>
      </c>
      <c r="N7" s="5" t="s">
        <v>87</v>
      </c>
      <c r="O7" s="5" t="s">
        <v>88</v>
      </c>
      <c r="P7" s="5" t="s">
        <v>93</v>
      </c>
      <c r="Q7" s="5" t="s">
        <v>90</v>
      </c>
      <c r="R7" s="5" t="s">
        <v>91</v>
      </c>
      <c r="S7" s="5" t="s">
        <v>92</v>
      </c>
      <c r="U7" s="5" t="s">
        <v>84</v>
      </c>
      <c r="V7" s="5" t="s">
        <v>85</v>
      </c>
      <c r="W7" s="5" t="s">
        <v>86</v>
      </c>
      <c r="X7" s="5" t="s">
        <v>87</v>
      </c>
      <c r="Y7" s="5" t="s">
        <v>88</v>
      </c>
      <c r="Z7" s="5" t="s">
        <v>94</v>
      </c>
      <c r="AA7" s="5" t="s">
        <v>90</v>
      </c>
      <c r="AB7" s="5" t="s">
        <v>91</v>
      </c>
      <c r="AC7" s="5" t="s">
        <v>92</v>
      </c>
    </row>
    <row r="8" spans="1:29" x14ac:dyDescent="0.2">
      <c r="A8" s="15">
        <v>0</v>
      </c>
      <c r="B8" s="16">
        <f t="shared" ref="B8:B39" si="0">A8*Tomato_HoursPerWeek*SeasonWeeks*(1+Tomato_DimRate)^A8</f>
        <v>0</v>
      </c>
      <c r="C8" s="6"/>
      <c r="D8" s="17">
        <f t="shared" ref="D8:D39" si="1">MIN(B8,OwnHours)*OwnRate+MAX(B8-OwnHours,0)*TempRate</f>
        <v>0</v>
      </c>
      <c r="E8" s="17">
        <f t="shared" ref="E8:E39" si="2">D8+A8*Tomato_Fertilizer</f>
        <v>0</v>
      </c>
      <c r="F8" s="6"/>
      <c r="G8" s="6"/>
      <c r="H8" s="6"/>
      <c r="I8" s="6"/>
      <c r="K8" s="15">
        <v>0</v>
      </c>
      <c r="L8" s="16">
        <f t="shared" ref="L8:L39" si="3">K8*Carrot_HoursPerWeek*SeasonWeeks*(1+Carrot_DimRate)^K8</f>
        <v>0</v>
      </c>
      <c r="M8" s="6"/>
      <c r="N8" s="17">
        <f t="shared" ref="N8:N39" si="4">MIN(L8,OwnHours)*OwnRate+MAX(L8-OwnHours,0)*TempRate</f>
        <v>0</v>
      </c>
      <c r="O8" s="17">
        <f t="shared" ref="O8:O39" si="5">N8+K8*Carrot_Fertilizer</f>
        <v>0</v>
      </c>
      <c r="P8" s="6"/>
      <c r="Q8" s="6"/>
      <c r="R8" s="6"/>
      <c r="S8" s="6"/>
      <c r="U8" s="15">
        <v>0</v>
      </c>
      <c r="V8" s="16">
        <f t="shared" ref="V8:V39" si="6">U8*Mesclun_HoursPerWeek*SeasonWeeks*(1+Mesclun_DimRate)^U8</f>
        <v>0</v>
      </c>
      <c r="W8" s="6"/>
      <c r="X8" s="17">
        <f t="shared" ref="X8:X39" si="7">MIN(V8,OwnHours)*OwnRate+MAX(V8-OwnHours,0)*TempRate</f>
        <v>0</v>
      </c>
      <c r="Y8" s="17">
        <f t="shared" ref="Y8:Y39" si="8">X8+U8*Mesclun_Fertilizer</f>
        <v>0</v>
      </c>
      <c r="Z8" s="6"/>
      <c r="AA8" s="6"/>
      <c r="AB8" s="6"/>
      <c r="AC8" s="6"/>
    </row>
    <row r="9" spans="1:29" x14ac:dyDescent="0.2">
      <c r="A9" s="15">
        <v>1</v>
      </c>
      <c r="B9" s="16">
        <f t="shared" si="0"/>
        <v>99.000000000000014</v>
      </c>
      <c r="C9" s="16">
        <f t="shared" ref="C9:C40" si="9">B9-B8</f>
        <v>99.000000000000014</v>
      </c>
      <c r="D9" s="17">
        <f t="shared" si="1"/>
        <v>3437.5000000000005</v>
      </c>
      <c r="E9" s="17">
        <f t="shared" si="2"/>
        <v>4317.5</v>
      </c>
      <c r="F9" s="17">
        <f t="shared" ref="F9:F40" si="10">E9-E8</f>
        <v>4317.5</v>
      </c>
      <c r="G9" s="18">
        <f t="shared" ref="G9:G40" si="11">Tomato_Revenue</f>
        <v>8800</v>
      </c>
      <c r="H9" s="6" t="str">
        <f t="shared" ref="H9:H40" si="12">IF(F9&lt;=G9,"Yes","No")</f>
        <v>Yes</v>
      </c>
      <c r="I9" s="18">
        <f t="shared" ref="I9:I40" si="13">A9*Tomato_Revenue-E9-FixedCost</f>
        <v>-15517.5</v>
      </c>
      <c r="K9" s="15">
        <v>1</v>
      </c>
      <c r="L9" s="16">
        <f t="shared" si="3"/>
        <v>30.749999999999996</v>
      </c>
      <c r="M9" s="16">
        <f t="shared" ref="M9:M40" si="14">L9-L8</f>
        <v>30.749999999999996</v>
      </c>
      <c r="N9" s="17">
        <f t="shared" si="4"/>
        <v>1067.7083333333333</v>
      </c>
      <c r="O9" s="17">
        <f t="shared" si="5"/>
        <v>1507.7083333333333</v>
      </c>
      <c r="P9" s="17">
        <f t="shared" ref="P9:P40" si="15">O9-O8</f>
        <v>1507.7083333333333</v>
      </c>
      <c r="Q9" s="18">
        <f t="shared" ref="Q9:Q40" si="16">Carrot_Revenue</f>
        <v>2094</v>
      </c>
      <c r="R9" s="6" t="str">
        <f t="shared" ref="R9:R40" si="17">IF(P9&lt;=Q9,"Yes","No")</f>
        <v>Yes</v>
      </c>
      <c r="S9" s="18">
        <f t="shared" ref="S9:S40" si="18">K9*Carrot_Revenue-O9-FixedCost</f>
        <v>-19413.708333333332</v>
      </c>
      <c r="U9" s="15">
        <v>1</v>
      </c>
      <c r="V9" s="16">
        <f t="shared" si="6"/>
        <v>45.5625</v>
      </c>
      <c r="W9" s="16">
        <f t="shared" ref="W9:W40" si="19">V9-V8</f>
        <v>45.5625</v>
      </c>
      <c r="X9" s="17">
        <f t="shared" si="7"/>
        <v>1582.03125</v>
      </c>
      <c r="Y9" s="17">
        <f t="shared" si="8"/>
        <v>2462.03125</v>
      </c>
      <c r="Z9" s="17">
        <f t="shared" ref="Z9:Z40" si="20">Y9-Y8</f>
        <v>2462.03125</v>
      </c>
      <c r="AA9" s="18">
        <f t="shared" ref="AA9:AA40" si="21">Mesclun_Revenue</f>
        <v>2700</v>
      </c>
      <c r="AB9" s="6" t="str">
        <f t="shared" ref="AB9:AB40" si="22">IF(Z9&lt;=AA9,"Yes","No")</f>
        <v>Yes</v>
      </c>
      <c r="AC9" s="18">
        <f t="shared" ref="AC9:AC40" si="23">U9*Mesclun_Revenue-Y9-FixedCost</f>
        <v>-19762.03125</v>
      </c>
    </row>
    <row r="10" spans="1:29" x14ac:dyDescent="0.2">
      <c r="A10" s="15">
        <v>2</v>
      </c>
      <c r="B10" s="16">
        <f t="shared" si="0"/>
        <v>217.80000000000004</v>
      </c>
      <c r="C10" s="16">
        <f t="shared" si="9"/>
        <v>118.80000000000003</v>
      </c>
      <c r="D10" s="17">
        <f t="shared" si="1"/>
        <v>7562.5000000000009</v>
      </c>
      <c r="E10" s="17">
        <f t="shared" si="2"/>
        <v>9322.5</v>
      </c>
      <c r="F10" s="17">
        <f t="shared" si="10"/>
        <v>5005</v>
      </c>
      <c r="G10" s="18">
        <f t="shared" si="11"/>
        <v>8800</v>
      </c>
      <c r="H10" s="6" t="str">
        <f t="shared" si="12"/>
        <v>Yes</v>
      </c>
      <c r="I10" s="18">
        <f t="shared" si="13"/>
        <v>-11722.5</v>
      </c>
      <c r="K10" s="15">
        <v>2</v>
      </c>
      <c r="L10" s="16">
        <f t="shared" si="3"/>
        <v>63.037499999999994</v>
      </c>
      <c r="M10" s="16">
        <f t="shared" si="14"/>
        <v>32.287499999999994</v>
      </c>
      <c r="N10" s="17">
        <f t="shared" si="4"/>
        <v>2188.802083333333</v>
      </c>
      <c r="O10" s="17">
        <f t="shared" si="5"/>
        <v>3068.802083333333</v>
      </c>
      <c r="P10" s="17">
        <f t="shared" si="15"/>
        <v>1561.0937499999998</v>
      </c>
      <c r="Q10" s="18">
        <f t="shared" si="16"/>
        <v>2094</v>
      </c>
      <c r="R10" s="6" t="str">
        <f t="shared" si="17"/>
        <v>Yes</v>
      </c>
      <c r="S10" s="18">
        <f t="shared" si="18"/>
        <v>-18880.802083333332</v>
      </c>
      <c r="U10" s="15">
        <v>2</v>
      </c>
      <c r="V10" s="16">
        <f t="shared" si="6"/>
        <v>92.264062499999994</v>
      </c>
      <c r="W10" s="16">
        <f t="shared" si="19"/>
        <v>46.701562499999994</v>
      </c>
      <c r="X10" s="17">
        <f t="shared" si="7"/>
        <v>3203.6132812499995</v>
      </c>
      <c r="Y10" s="17">
        <f t="shared" si="8"/>
        <v>4963.61328125</v>
      </c>
      <c r="Z10" s="17">
        <f t="shared" si="20"/>
        <v>2501.58203125</v>
      </c>
      <c r="AA10" s="18">
        <f t="shared" si="21"/>
        <v>2700</v>
      </c>
      <c r="AB10" s="6" t="str">
        <f t="shared" si="22"/>
        <v>Yes</v>
      </c>
      <c r="AC10" s="18">
        <f t="shared" si="23"/>
        <v>-19563.61328125</v>
      </c>
    </row>
    <row r="11" spans="1:29" x14ac:dyDescent="0.2">
      <c r="A11" s="15">
        <v>3</v>
      </c>
      <c r="B11" s="16">
        <f t="shared" si="0"/>
        <v>359.37000000000012</v>
      </c>
      <c r="C11" s="16">
        <f t="shared" si="9"/>
        <v>141.57000000000008</v>
      </c>
      <c r="D11" s="17">
        <f t="shared" si="1"/>
        <v>12478.125000000004</v>
      </c>
      <c r="E11" s="17">
        <f t="shared" si="2"/>
        <v>15118.125000000004</v>
      </c>
      <c r="F11" s="17">
        <f t="shared" si="10"/>
        <v>5795.6250000000036</v>
      </c>
      <c r="G11" s="18">
        <f t="shared" si="11"/>
        <v>8800</v>
      </c>
      <c r="H11" s="6" t="str">
        <f t="shared" si="12"/>
        <v>Yes</v>
      </c>
      <c r="I11" s="18">
        <f t="shared" si="13"/>
        <v>-8718.1250000000036</v>
      </c>
      <c r="K11" s="15">
        <v>3</v>
      </c>
      <c r="L11" s="16">
        <f t="shared" si="3"/>
        <v>96.920156249999991</v>
      </c>
      <c r="M11" s="16">
        <f t="shared" si="14"/>
        <v>33.882656249999997</v>
      </c>
      <c r="N11" s="17">
        <f t="shared" si="4"/>
        <v>3365.2832031249995</v>
      </c>
      <c r="O11" s="17">
        <f t="shared" si="5"/>
        <v>4685.283203125</v>
      </c>
      <c r="P11" s="17">
        <f t="shared" si="15"/>
        <v>1616.481119791667</v>
      </c>
      <c r="Q11" s="18">
        <f t="shared" si="16"/>
        <v>2094</v>
      </c>
      <c r="R11" s="6" t="str">
        <f t="shared" si="17"/>
        <v>Yes</v>
      </c>
      <c r="S11" s="18">
        <f t="shared" si="18"/>
        <v>-18403.283203125</v>
      </c>
      <c r="U11" s="15">
        <v>3</v>
      </c>
      <c r="V11" s="16">
        <f t="shared" si="6"/>
        <v>140.12604492187498</v>
      </c>
      <c r="W11" s="16">
        <f t="shared" si="19"/>
        <v>47.861982421874984</v>
      </c>
      <c r="X11" s="17">
        <f t="shared" si="7"/>
        <v>4865.4876708984366</v>
      </c>
      <c r="Y11" s="17">
        <f t="shared" si="8"/>
        <v>7505.4876708984366</v>
      </c>
      <c r="Z11" s="17">
        <f t="shared" si="20"/>
        <v>2541.8743896484366</v>
      </c>
      <c r="AA11" s="18">
        <f t="shared" si="21"/>
        <v>2700</v>
      </c>
      <c r="AB11" s="6" t="str">
        <f t="shared" si="22"/>
        <v>Yes</v>
      </c>
      <c r="AC11" s="18">
        <f t="shared" si="23"/>
        <v>-19405.487670898438</v>
      </c>
    </row>
    <row r="12" spans="1:29" x14ac:dyDescent="0.2">
      <c r="A12" s="15">
        <v>4</v>
      </c>
      <c r="B12" s="16">
        <f t="shared" si="0"/>
        <v>527.07600000000014</v>
      </c>
      <c r="C12" s="16">
        <f t="shared" si="9"/>
        <v>167.70600000000002</v>
      </c>
      <c r="D12" s="17">
        <f t="shared" si="1"/>
        <v>18301.250000000004</v>
      </c>
      <c r="E12" s="17">
        <f t="shared" si="2"/>
        <v>21821.250000000004</v>
      </c>
      <c r="F12" s="17">
        <f t="shared" si="10"/>
        <v>6703.125</v>
      </c>
      <c r="G12" s="18">
        <f t="shared" si="11"/>
        <v>8800</v>
      </c>
      <c r="H12" s="6" t="str">
        <f t="shared" si="12"/>
        <v>Yes</v>
      </c>
      <c r="I12" s="18">
        <f t="shared" si="13"/>
        <v>-6621.2500000000036</v>
      </c>
      <c r="K12" s="15">
        <v>4</v>
      </c>
      <c r="L12" s="16">
        <f t="shared" si="3"/>
        <v>132.45754687499996</v>
      </c>
      <c r="M12" s="16">
        <f t="shared" si="14"/>
        <v>35.537390624999972</v>
      </c>
      <c r="N12" s="17">
        <f t="shared" si="4"/>
        <v>4599.2203776041652</v>
      </c>
      <c r="O12" s="17">
        <f t="shared" si="5"/>
        <v>6359.2203776041652</v>
      </c>
      <c r="P12" s="17">
        <f t="shared" si="15"/>
        <v>1673.9371744791652</v>
      </c>
      <c r="Q12" s="18">
        <f t="shared" si="16"/>
        <v>2094</v>
      </c>
      <c r="R12" s="6" t="str">
        <f t="shared" si="17"/>
        <v>Yes</v>
      </c>
      <c r="S12" s="18">
        <f t="shared" si="18"/>
        <v>-17983.220377604164</v>
      </c>
      <c r="U12" s="15">
        <v>4</v>
      </c>
      <c r="V12" s="16">
        <f t="shared" si="6"/>
        <v>189.17016064453125</v>
      </c>
      <c r="W12" s="16">
        <f t="shared" si="19"/>
        <v>49.044115722656272</v>
      </c>
      <c r="X12" s="17">
        <f t="shared" si="7"/>
        <v>6568.4083557128906</v>
      </c>
      <c r="Y12" s="17">
        <f t="shared" si="8"/>
        <v>10088.408355712891</v>
      </c>
      <c r="Z12" s="17">
        <f t="shared" si="20"/>
        <v>2582.920684814454</v>
      </c>
      <c r="AA12" s="18">
        <f t="shared" si="21"/>
        <v>2700</v>
      </c>
      <c r="AB12" s="6" t="str">
        <f t="shared" si="22"/>
        <v>Yes</v>
      </c>
      <c r="AC12" s="18">
        <f t="shared" si="23"/>
        <v>-19288.408355712891</v>
      </c>
    </row>
    <row r="13" spans="1:29" x14ac:dyDescent="0.2">
      <c r="A13" s="15">
        <v>5</v>
      </c>
      <c r="B13" s="16">
        <f t="shared" si="0"/>
        <v>724.72950000000026</v>
      </c>
      <c r="C13" s="16">
        <f t="shared" si="9"/>
        <v>197.65350000000012</v>
      </c>
      <c r="D13" s="17">
        <f t="shared" si="1"/>
        <v>25082.109375000004</v>
      </c>
      <c r="E13" s="17">
        <f t="shared" si="2"/>
        <v>29482.109375000004</v>
      </c>
      <c r="F13" s="17">
        <f t="shared" si="10"/>
        <v>7660.859375</v>
      </c>
      <c r="G13" s="18">
        <f t="shared" si="11"/>
        <v>8800</v>
      </c>
      <c r="H13" s="6" t="str">
        <f t="shared" si="12"/>
        <v>Yes</v>
      </c>
      <c r="I13" s="18">
        <f t="shared" si="13"/>
        <v>-5482.1093750000036</v>
      </c>
      <c r="K13" s="15">
        <v>5</v>
      </c>
      <c r="L13" s="16">
        <f t="shared" si="3"/>
        <v>169.71123193359369</v>
      </c>
      <c r="M13" s="16">
        <f t="shared" si="14"/>
        <v>37.253685058593732</v>
      </c>
      <c r="N13" s="17">
        <f t="shared" si="4"/>
        <v>5892.7511088053361</v>
      </c>
      <c r="O13" s="17">
        <f t="shared" si="5"/>
        <v>8092.7511088053361</v>
      </c>
      <c r="P13" s="17">
        <f t="shared" si="15"/>
        <v>1733.530731201171</v>
      </c>
      <c r="Q13" s="18">
        <f t="shared" si="16"/>
        <v>2094</v>
      </c>
      <c r="R13" s="6" t="str">
        <f t="shared" si="17"/>
        <v>Yes</v>
      </c>
      <c r="S13" s="18">
        <f t="shared" si="18"/>
        <v>-17622.751108805336</v>
      </c>
      <c r="U13" s="15">
        <v>5</v>
      </c>
      <c r="V13" s="16">
        <f t="shared" si="6"/>
        <v>239.41848456573481</v>
      </c>
      <c r="W13" s="16">
        <f t="shared" si="19"/>
        <v>50.248323921203564</v>
      </c>
      <c r="X13" s="17">
        <f t="shared" si="7"/>
        <v>8313.1418251991254</v>
      </c>
      <c r="Y13" s="17">
        <f t="shared" si="8"/>
        <v>12713.141825199125</v>
      </c>
      <c r="Z13" s="17">
        <f t="shared" si="20"/>
        <v>2624.7334694862348</v>
      </c>
      <c r="AA13" s="18">
        <f t="shared" si="21"/>
        <v>2700</v>
      </c>
      <c r="AB13" s="6" t="str">
        <f t="shared" si="22"/>
        <v>Yes</v>
      </c>
      <c r="AC13" s="18">
        <f t="shared" si="23"/>
        <v>-19213.141825199127</v>
      </c>
    </row>
    <row r="14" spans="1:29" x14ac:dyDescent="0.2">
      <c r="A14" s="15">
        <v>6</v>
      </c>
      <c r="B14" s="16">
        <f t="shared" si="0"/>
        <v>956.64294000000041</v>
      </c>
      <c r="C14" s="16">
        <f t="shared" si="9"/>
        <v>231.91344000000015</v>
      </c>
      <c r="D14" s="17">
        <f t="shared" si="1"/>
        <v>29108.384375000009</v>
      </c>
      <c r="E14" s="17">
        <f t="shared" si="2"/>
        <v>34388.384375000009</v>
      </c>
      <c r="F14" s="17">
        <f t="shared" si="10"/>
        <v>4906.2750000000051</v>
      </c>
      <c r="G14" s="18">
        <f t="shared" si="11"/>
        <v>8800</v>
      </c>
      <c r="H14" s="6" t="str">
        <f t="shared" si="12"/>
        <v>Yes</v>
      </c>
      <c r="I14" s="18">
        <f t="shared" si="13"/>
        <v>-1588.3843750000087</v>
      </c>
      <c r="K14" s="15">
        <v>6</v>
      </c>
      <c r="L14" s="16">
        <f t="shared" si="3"/>
        <v>208.74481527832023</v>
      </c>
      <c r="M14" s="16">
        <f t="shared" si="14"/>
        <v>39.033583344726537</v>
      </c>
      <c r="N14" s="17">
        <f t="shared" si="4"/>
        <v>7248.0838638305631</v>
      </c>
      <c r="O14" s="17">
        <f t="shared" si="5"/>
        <v>9888.0838638305631</v>
      </c>
      <c r="P14" s="17">
        <f t="shared" si="15"/>
        <v>1795.332755025227</v>
      </c>
      <c r="Q14" s="18">
        <f t="shared" si="16"/>
        <v>2094</v>
      </c>
      <c r="R14" s="6" t="str">
        <f t="shared" si="17"/>
        <v>Yes</v>
      </c>
      <c r="S14" s="18">
        <f t="shared" si="18"/>
        <v>-17324.083863830565</v>
      </c>
      <c r="U14" s="15">
        <v>6</v>
      </c>
      <c r="V14" s="16">
        <f t="shared" si="6"/>
        <v>290.89345874736784</v>
      </c>
      <c r="W14" s="16">
        <f t="shared" si="19"/>
        <v>51.47497418163303</v>
      </c>
      <c r="X14" s="17">
        <f t="shared" si="7"/>
        <v>10100.467317616938</v>
      </c>
      <c r="Y14" s="17">
        <f t="shared" si="8"/>
        <v>15380.467317616938</v>
      </c>
      <c r="Z14" s="17">
        <f t="shared" si="20"/>
        <v>2667.3254924178127</v>
      </c>
      <c r="AA14" s="18">
        <f t="shared" si="21"/>
        <v>2700</v>
      </c>
      <c r="AB14" s="6" t="str">
        <f t="shared" si="22"/>
        <v>Yes</v>
      </c>
      <c r="AC14" s="18">
        <f t="shared" si="23"/>
        <v>-19180.467317616938</v>
      </c>
    </row>
    <row r="15" spans="1:29" x14ac:dyDescent="0.2">
      <c r="A15" s="15">
        <v>7</v>
      </c>
      <c r="B15" s="16">
        <f t="shared" si="0"/>
        <v>1227.6917730000007</v>
      </c>
      <c r="C15" s="16">
        <f t="shared" si="9"/>
        <v>271.04883300000029</v>
      </c>
      <c r="D15" s="17">
        <f t="shared" si="1"/>
        <v>33814.09328125001</v>
      </c>
      <c r="E15" s="17">
        <f t="shared" si="2"/>
        <v>39974.09328125001</v>
      </c>
      <c r="F15" s="17">
        <f t="shared" si="10"/>
        <v>5585.7089062500017</v>
      </c>
      <c r="G15" s="18">
        <f t="shared" si="11"/>
        <v>8800</v>
      </c>
      <c r="H15" s="6" t="str">
        <f t="shared" si="12"/>
        <v>Yes</v>
      </c>
      <c r="I15" s="18">
        <f t="shared" si="13"/>
        <v>1625.9067187499895</v>
      </c>
      <c r="K15" s="15">
        <v>7</v>
      </c>
      <c r="L15" s="16">
        <f t="shared" si="3"/>
        <v>249.62400827032465</v>
      </c>
      <c r="M15" s="16">
        <f t="shared" si="14"/>
        <v>40.87919299200442</v>
      </c>
      <c r="N15" s="17">
        <f t="shared" si="4"/>
        <v>8667.50028716405</v>
      </c>
      <c r="O15" s="17">
        <f t="shared" si="5"/>
        <v>11747.50028716405</v>
      </c>
      <c r="P15" s="17">
        <f t="shared" si="15"/>
        <v>1859.4164233334868</v>
      </c>
      <c r="Q15" s="18">
        <f t="shared" si="16"/>
        <v>2094</v>
      </c>
      <c r="R15" s="6" t="str">
        <f t="shared" si="17"/>
        <v>Yes</v>
      </c>
      <c r="S15" s="18">
        <f t="shared" si="18"/>
        <v>-17089.50028716405</v>
      </c>
      <c r="U15" s="15">
        <v>7</v>
      </c>
      <c r="V15" s="16">
        <f t="shared" si="6"/>
        <v>343.61789814532818</v>
      </c>
      <c r="W15" s="16">
        <f t="shared" si="19"/>
        <v>52.724439397960339</v>
      </c>
      <c r="X15" s="17">
        <f t="shared" si="7"/>
        <v>11931.177018935006</v>
      </c>
      <c r="Y15" s="17">
        <f t="shared" si="8"/>
        <v>18091.177018935006</v>
      </c>
      <c r="Z15" s="17">
        <f t="shared" si="20"/>
        <v>2710.7097013180683</v>
      </c>
      <c r="AA15" s="18">
        <f t="shared" si="21"/>
        <v>2700</v>
      </c>
      <c r="AB15" s="6" t="str">
        <f t="shared" si="22"/>
        <v>No</v>
      </c>
      <c r="AC15" s="18">
        <f t="shared" si="23"/>
        <v>-19191.177018935006</v>
      </c>
    </row>
    <row r="16" spans="1:29" x14ac:dyDescent="0.2">
      <c r="A16" s="15">
        <v>8</v>
      </c>
      <c r="B16" s="16">
        <f t="shared" si="0"/>
        <v>1543.3839432000009</v>
      </c>
      <c r="C16" s="16">
        <f t="shared" si="9"/>
        <v>315.69217020000019</v>
      </c>
      <c r="D16" s="17">
        <f t="shared" si="1"/>
        <v>39294.860125000014</v>
      </c>
      <c r="E16" s="17">
        <f t="shared" si="2"/>
        <v>46334.860125000014</v>
      </c>
      <c r="F16" s="17">
        <f t="shared" si="10"/>
        <v>6360.7668437500033</v>
      </c>
      <c r="G16" s="18">
        <f t="shared" si="11"/>
        <v>8800</v>
      </c>
      <c r="H16" s="6" t="str">
        <f t="shared" si="12"/>
        <v>Yes</v>
      </c>
      <c r="I16" s="18">
        <f t="shared" si="13"/>
        <v>4065.1398749999862</v>
      </c>
      <c r="K16" s="15">
        <v>8</v>
      </c>
      <c r="L16" s="16">
        <f t="shared" si="3"/>
        <v>292.41669540238024</v>
      </c>
      <c r="M16" s="16">
        <f t="shared" si="14"/>
        <v>42.79268713205559</v>
      </c>
      <c r="N16" s="17">
        <f t="shared" si="4"/>
        <v>10153.357479249315</v>
      </c>
      <c r="O16" s="17">
        <f t="shared" si="5"/>
        <v>13673.357479249315</v>
      </c>
      <c r="P16" s="17">
        <f t="shared" si="15"/>
        <v>1925.8571920852646</v>
      </c>
      <c r="Q16" s="18">
        <f t="shared" si="16"/>
        <v>2094</v>
      </c>
      <c r="R16" s="6" t="str">
        <f t="shared" si="17"/>
        <v>Yes</v>
      </c>
      <c r="S16" s="18">
        <f t="shared" si="18"/>
        <v>-16921.357479249316</v>
      </c>
      <c r="U16" s="15">
        <v>8</v>
      </c>
      <c r="V16" s="16">
        <f t="shared" si="6"/>
        <v>397.61499642530839</v>
      </c>
      <c r="W16" s="16">
        <f t="shared" si="19"/>
        <v>53.997098279980207</v>
      </c>
      <c r="X16" s="17">
        <f t="shared" si="7"/>
        <v>13806.076264767653</v>
      </c>
      <c r="Y16" s="17">
        <f t="shared" si="8"/>
        <v>20846.076264767653</v>
      </c>
      <c r="Z16" s="17">
        <f t="shared" si="20"/>
        <v>2754.8992458326466</v>
      </c>
      <c r="AA16" s="18">
        <f t="shared" si="21"/>
        <v>2700</v>
      </c>
      <c r="AB16" s="6" t="str">
        <f t="shared" si="22"/>
        <v>No</v>
      </c>
      <c r="AC16" s="18">
        <f t="shared" si="23"/>
        <v>-19246.076264767653</v>
      </c>
    </row>
    <row r="17" spans="1:29" x14ac:dyDescent="0.2">
      <c r="A17" s="15">
        <v>9</v>
      </c>
      <c r="B17" s="16">
        <f t="shared" si="0"/>
        <v>1909.9376297100011</v>
      </c>
      <c r="C17" s="16">
        <f t="shared" si="9"/>
        <v>366.55368651000026</v>
      </c>
      <c r="D17" s="17">
        <f t="shared" si="1"/>
        <v>45658.639404687521</v>
      </c>
      <c r="E17" s="17">
        <f t="shared" si="2"/>
        <v>53578.639404687521</v>
      </c>
      <c r="F17" s="17">
        <f t="shared" si="10"/>
        <v>7243.7792796875074</v>
      </c>
      <c r="G17" s="18">
        <f t="shared" si="11"/>
        <v>8800</v>
      </c>
      <c r="H17" s="6" t="str">
        <f t="shared" si="12"/>
        <v>Yes</v>
      </c>
      <c r="I17" s="18">
        <f t="shared" si="13"/>
        <v>5621.3605953124788</v>
      </c>
      <c r="K17" s="15">
        <v>9</v>
      </c>
      <c r="L17" s="16">
        <f t="shared" si="3"/>
        <v>337.19300188586965</v>
      </c>
      <c r="M17" s="16">
        <f t="shared" si="14"/>
        <v>44.776306483489407</v>
      </c>
      <c r="N17" s="17">
        <f t="shared" si="4"/>
        <v>11708.090343259362</v>
      </c>
      <c r="O17" s="17">
        <f t="shared" si="5"/>
        <v>15668.090343259362</v>
      </c>
      <c r="P17" s="17">
        <f t="shared" si="15"/>
        <v>1994.7328640100477</v>
      </c>
      <c r="Q17" s="18">
        <f t="shared" si="16"/>
        <v>2094</v>
      </c>
      <c r="R17" s="6" t="str">
        <f t="shared" si="17"/>
        <v>Yes</v>
      </c>
      <c r="S17" s="18">
        <f t="shared" si="18"/>
        <v>-16822.090343259362</v>
      </c>
      <c r="U17" s="15">
        <v>9</v>
      </c>
      <c r="V17" s="16">
        <f t="shared" si="6"/>
        <v>452.90833186570285</v>
      </c>
      <c r="W17" s="16">
        <f t="shared" si="19"/>
        <v>55.293335440394458</v>
      </c>
      <c r="X17" s="17">
        <f t="shared" si="7"/>
        <v>15725.983745336904</v>
      </c>
      <c r="Y17" s="17">
        <f t="shared" si="8"/>
        <v>23645.983745336904</v>
      </c>
      <c r="Z17" s="17">
        <f t="shared" si="20"/>
        <v>2799.9074805692508</v>
      </c>
      <c r="AA17" s="18">
        <f t="shared" si="21"/>
        <v>2700</v>
      </c>
      <c r="AB17" s="6" t="str">
        <f t="shared" si="22"/>
        <v>No</v>
      </c>
      <c r="AC17" s="18">
        <f t="shared" si="23"/>
        <v>-19345.983745336904</v>
      </c>
    </row>
    <row r="18" spans="1:29" x14ac:dyDescent="0.2">
      <c r="A18" s="15">
        <v>10</v>
      </c>
      <c r="B18" s="16">
        <f t="shared" si="0"/>
        <v>2334.3682140900019</v>
      </c>
      <c r="C18" s="16">
        <f t="shared" si="9"/>
        <v>424.43058438000071</v>
      </c>
      <c r="D18" s="17">
        <f t="shared" si="1"/>
        <v>53027.225939062533</v>
      </c>
      <c r="E18" s="17">
        <f t="shared" si="2"/>
        <v>61827.225939062533</v>
      </c>
      <c r="F18" s="17">
        <f t="shared" si="10"/>
        <v>8248.586534375012</v>
      </c>
      <c r="G18" s="18">
        <f t="shared" si="11"/>
        <v>8800</v>
      </c>
      <c r="H18" s="6" t="str">
        <f t="shared" si="12"/>
        <v>Yes</v>
      </c>
      <c r="I18" s="18">
        <f t="shared" si="13"/>
        <v>6172.7740609374669</v>
      </c>
      <c r="K18" s="15">
        <v>10</v>
      </c>
      <c r="L18" s="16">
        <f t="shared" si="3"/>
        <v>384.02536325890713</v>
      </c>
      <c r="M18" s="16">
        <f t="shared" si="14"/>
        <v>46.832361373037486</v>
      </c>
      <c r="N18" s="17">
        <f t="shared" si="4"/>
        <v>13334.214002045386</v>
      </c>
      <c r="O18" s="17">
        <f t="shared" si="5"/>
        <v>17734.214002045388</v>
      </c>
      <c r="P18" s="17">
        <f t="shared" si="15"/>
        <v>2066.1236587860258</v>
      </c>
      <c r="Q18" s="18">
        <f t="shared" si="16"/>
        <v>2094</v>
      </c>
      <c r="R18" s="6" t="str">
        <f t="shared" si="17"/>
        <v>Yes</v>
      </c>
      <c r="S18" s="18">
        <f t="shared" si="18"/>
        <v>-16794.214002045388</v>
      </c>
      <c r="U18" s="15">
        <v>10</v>
      </c>
      <c r="V18" s="16">
        <f t="shared" si="6"/>
        <v>509.52187334891573</v>
      </c>
      <c r="W18" s="16">
        <f t="shared" si="19"/>
        <v>56.613541483212884</v>
      </c>
      <c r="X18" s="17">
        <f t="shared" si="7"/>
        <v>17691.731713504018</v>
      </c>
      <c r="Y18" s="17">
        <f t="shared" si="8"/>
        <v>26491.731713504018</v>
      </c>
      <c r="Z18" s="17">
        <f t="shared" si="20"/>
        <v>2845.7479681671139</v>
      </c>
      <c r="AA18" s="18">
        <f t="shared" si="21"/>
        <v>2700</v>
      </c>
      <c r="AB18" s="6" t="str">
        <f t="shared" si="22"/>
        <v>No</v>
      </c>
      <c r="AC18" s="18">
        <f t="shared" si="23"/>
        <v>-19491.731713504018</v>
      </c>
    </row>
    <row r="19" spans="1:29" x14ac:dyDescent="0.2">
      <c r="A19" s="15">
        <v>11</v>
      </c>
      <c r="B19" s="16">
        <f t="shared" si="0"/>
        <v>2824.5855390489023</v>
      </c>
      <c r="C19" s="16">
        <f t="shared" si="9"/>
        <v>490.21732495890046</v>
      </c>
      <c r="D19" s="17">
        <f t="shared" si="1"/>
        <v>61537.943386265666</v>
      </c>
      <c r="E19" s="17">
        <f t="shared" si="2"/>
        <v>71217.943386265659</v>
      </c>
      <c r="F19" s="17">
        <f t="shared" si="10"/>
        <v>9390.7174472031256</v>
      </c>
      <c r="G19" s="18">
        <f t="shared" si="11"/>
        <v>8800</v>
      </c>
      <c r="H19" s="6" t="str">
        <f t="shared" si="12"/>
        <v>No</v>
      </c>
      <c r="I19" s="18">
        <f t="shared" si="13"/>
        <v>5582.0566137343412</v>
      </c>
      <c r="K19" s="15">
        <v>11</v>
      </c>
      <c r="L19" s="16">
        <f t="shared" si="3"/>
        <v>432.98859707441784</v>
      </c>
      <c r="M19" s="16">
        <f t="shared" si="14"/>
        <v>48.963233815510705</v>
      </c>
      <c r="N19" s="17">
        <f t="shared" si="4"/>
        <v>15034.326287306174</v>
      </c>
      <c r="O19" s="17">
        <f t="shared" si="5"/>
        <v>19874.326287306176</v>
      </c>
      <c r="P19" s="17">
        <f t="shared" si="15"/>
        <v>2140.1122852607878</v>
      </c>
      <c r="Q19" s="18">
        <f t="shared" si="16"/>
        <v>2094</v>
      </c>
      <c r="R19" s="6" t="str">
        <f t="shared" si="17"/>
        <v>No</v>
      </c>
      <c r="S19" s="18">
        <f t="shared" si="18"/>
        <v>-16840.326287306176</v>
      </c>
      <c r="U19" s="15">
        <v>11</v>
      </c>
      <c r="V19" s="16">
        <f t="shared" si="6"/>
        <v>567.47998644235474</v>
      </c>
      <c r="W19" s="16">
        <f t="shared" si="19"/>
        <v>57.95811309343901</v>
      </c>
      <c r="X19" s="17">
        <f t="shared" si="7"/>
        <v>19704.166195915095</v>
      </c>
      <c r="Y19" s="17">
        <f t="shared" si="8"/>
        <v>29384.166195915095</v>
      </c>
      <c r="Z19" s="17">
        <f t="shared" si="20"/>
        <v>2892.4344824110776</v>
      </c>
      <c r="AA19" s="18">
        <f t="shared" si="21"/>
        <v>2700</v>
      </c>
      <c r="AB19" s="6" t="str">
        <f t="shared" si="22"/>
        <v>No</v>
      </c>
      <c r="AC19" s="18">
        <f t="shared" si="23"/>
        <v>-19684.166195915095</v>
      </c>
    </row>
    <row r="20" spans="1:29" x14ac:dyDescent="0.2">
      <c r="A20" s="15">
        <v>12</v>
      </c>
      <c r="B20" s="16">
        <f t="shared" si="0"/>
        <v>3389.502646858683</v>
      </c>
      <c r="C20" s="16">
        <f t="shared" si="9"/>
        <v>564.91710780978065</v>
      </c>
      <c r="D20" s="17">
        <f t="shared" si="1"/>
        <v>71345.532063518796</v>
      </c>
      <c r="E20" s="17">
        <f t="shared" si="2"/>
        <v>81905.532063518796</v>
      </c>
      <c r="F20" s="17">
        <f t="shared" si="10"/>
        <v>10687.588677253138</v>
      </c>
      <c r="G20" s="18">
        <f t="shared" si="11"/>
        <v>8800</v>
      </c>
      <c r="H20" s="6" t="str">
        <f t="shared" si="12"/>
        <v>No</v>
      </c>
      <c r="I20" s="18">
        <f t="shared" si="13"/>
        <v>3694.4679364812037</v>
      </c>
      <c r="K20" s="15">
        <v>12</v>
      </c>
      <c r="L20" s="16">
        <f t="shared" si="3"/>
        <v>484.15997672866712</v>
      </c>
      <c r="M20" s="16">
        <f t="shared" si="14"/>
        <v>51.171379654249279</v>
      </c>
      <c r="N20" s="17">
        <f t="shared" si="4"/>
        <v>16811.11030307872</v>
      </c>
      <c r="O20" s="17">
        <f t="shared" si="5"/>
        <v>22091.11030307872</v>
      </c>
      <c r="P20" s="17">
        <f t="shared" si="15"/>
        <v>2216.7840157725441</v>
      </c>
      <c r="Q20" s="18">
        <f t="shared" si="16"/>
        <v>2094</v>
      </c>
      <c r="R20" s="6" t="str">
        <f t="shared" si="17"/>
        <v>No</v>
      </c>
      <c r="S20" s="18">
        <f t="shared" si="18"/>
        <v>-16963.11030307872</v>
      </c>
      <c r="U20" s="15">
        <v>12</v>
      </c>
      <c r="V20" s="16">
        <f t="shared" si="6"/>
        <v>626.80743957041921</v>
      </c>
      <c r="W20" s="16">
        <f t="shared" si="19"/>
        <v>59.327453128064462</v>
      </c>
      <c r="X20" s="17">
        <f t="shared" si="7"/>
        <v>21764.147207306221</v>
      </c>
      <c r="Y20" s="17">
        <f t="shared" si="8"/>
        <v>32324.147207306221</v>
      </c>
      <c r="Z20" s="17">
        <f t="shared" si="20"/>
        <v>2939.9810113911262</v>
      </c>
      <c r="AA20" s="18">
        <f t="shared" si="21"/>
        <v>2700</v>
      </c>
      <c r="AB20" s="6" t="str">
        <f t="shared" si="22"/>
        <v>No</v>
      </c>
      <c r="AC20" s="18">
        <f t="shared" si="23"/>
        <v>-19924.147207306221</v>
      </c>
    </row>
    <row r="21" spans="1:29" x14ac:dyDescent="0.2">
      <c r="A21" s="15">
        <v>13</v>
      </c>
      <c r="B21" s="16">
        <f t="shared" si="0"/>
        <v>4039.1573208399304</v>
      </c>
      <c r="C21" s="16">
        <f t="shared" si="9"/>
        <v>649.65467398124747</v>
      </c>
      <c r="D21" s="17">
        <f t="shared" si="1"/>
        <v>82624.259042359903</v>
      </c>
      <c r="E21" s="17">
        <f t="shared" si="2"/>
        <v>94064.259042359903</v>
      </c>
      <c r="F21" s="17">
        <f t="shared" si="10"/>
        <v>12158.726978841107</v>
      </c>
      <c r="G21" s="18">
        <f t="shared" si="11"/>
        <v>8800</v>
      </c>
      <c r="H21" s="6" t="str">
        <f t="shared" si="12"/>
        <v>No</v>
      </c>
      <c r="I21" s="18">
        <f t="shared" si="13"/>
        <v>335.74095764009689</v>
      </c>
      <c r="K21" s="15">
        <v>13</v>
      </c>
      <c r="L21" s="16">
        <f t="shared" si="3"/>
        <v>537.61930749245744</v>
      </c>
      <c r="M21" s="16">
        <f t="shared" si="14"/>
        <v>53.459330763790319</v>
      </c>
      <c r="N21" s="17">
        <f t="shared" si="4"/>
        <v>18667.337065710326</v>
      </c>
      <c r="O21" s="17">
        <f t="shared" si="5"/>
        <v>24387.337065710326</v>
      </c>
      <c r="P21" s="17">
        <f t="shared" si="15"/>
        <v>2296.2267626316061</v>
      </c>
      <c r="Q21" s="18">
        <f t="shared" si="16"/>
        <v>2094</v>
      </c>
      <c r="R21" s="6" t="str">
        <f t="shared" si="17"/>
        <v>No</v>
      </c>
      <c r="S21" s="18">
        <f t="shared" si="18"/>
        <v>-17165.337065710326</v>
      </c>
      <c r="U21" s="15">
        <v>13</v>
      </c>
      <c r="V21" s="16">
        <f t="shared" si="6"/>
        <v>687.52941027880343</v>
      </c>
      <c r="W21" s="16">
        <f t="shared" si="19"/>
        <v>60.72197070838422</v>
      </c>
      <c r="X21" s="17">
        <f t="shared" si="7"/>
        <v>23872.548968014009</v>
      </c>
      <c r="Y21" s="17">
        <f t="shared" si="8"/>
        <v>35312.548968014009</v>
      </c>
      <c r="Z21" s="17">
        <f t="shared" si="20"/>
        <v>2988.4017607077876</v>
      </c>
      <c r="AA21" s="18">
        <f t="shared" si="21"/>
        <v>2700</v>
      </c>
      <c r="AB21" s="6" t="str">
        <f t="shared" si="22"/>
        <v>No</v>
      </c>
      <c r="AC21" s="18">
        <f t="shared" si="23"/>
        <v>-20212.548968014009</v>
      </c>
    </row>
    <row r="22" spans="1:29" x14ac:dyDescent="0.2">
      <c r="A22" s="15">
        <v>14</v>
      </c>
      <c r="B22" s="16">
        <f t="shared" si="0"/>
        <v>4784.8479031488414</v>
      </c>
      <c r="C22" s="16">
        <f t="shared" si="9"/>
        <v>745.69058230891096</v>
      </c>
      <c r="D22" s="17">
        <f t="shared" si="1"/>
        <v>95570.276096334055</v>
      </c>
      <c r="E22" s="17">
        <f t="shared" si="2"/>
        <v>107890.27609633406</v>
      </c>
      <c r="F22" s="17">
        <f t="shared" si="10"/>
        <v>13826.017053974152</v>
      </c>
      <c r="G22" s="18">
        <f t="shared" si="11"/>
        <v>8800</v>
      </c>
      <c r="H22" s="6" t="str">
        <f t="shared" si="12"/>
        <v>No</v>
      </c>
      <c r="I22" s="18">
        <f t="shared" si="13"/>
        <v>-4690.2760963340552</v>
      </c>
      <c r="K22" s="15">
        <v>14</v>
      </c>
      <c r="L22" s="16">
        <f t="shared" si="3"/>
        <v>593.44900480898184</v>
      </c>
      <c r="M22" s="16">
        <f t="shared" si="14"/>
        <v>55.829697316524403</v>
      </c>
      <c r="N22" s="17">
        <f t="shared" si="4"/>
        <v>20605.868222534093</v>
      </c>
      <c r="O22" s="17">
        <f t="shared" si="5"/>
        <v>26765.868222534093</v>
      </c>
      <c r="P22" s="17">
        <f t="shared" si="15"/>
        <v>2378.5311568237667</v>
      </c>
      <c r="Q22" s="18">
        <f t="shared" si="16"/>
        <v>2094</v>
      </c>
      <c r="R22" s="6" t="str">
        <f t="shared" si="17"/>
        <v>No</v>
      </c>
      <c r="S22" s="18">
        <f t="shared" si="18"/>
        <v>-17449.868222534093</v>
      </c>
      <c r="U22" s="15">
        <v>14</v>
      </c>
      <c r="V22" s="16">
        <f t="shared" si="6"/>
        <v>749.67149159246469</v>
      </c>
      <c r="W22" s="16">
        <f t="shared" si="19"/>
        <v>62.142081313661265</v>
      </c>
      <c r="X22" s="17">
        <f t="shared" si="7"/>
        <v>25515.130062369179</v>
      </c>
      <c r="Y22" s="17">
        <f t="shared" si="8"/>
        <v>37835.130062369179</v>
      </c>
      <c r="Z22" s="17">
        <f t="shared" si="20"/>
        <v>2522.5810943551696</v>
      </c>
      <c r="AA22" s="18">
        <f t="shared" si="21"/>
        <v>2700</v>
      </c>
      <c r="AB22" s="6" t="str">
        <f t="shared" si="22"/>
        <v>Yes</v>
      </c>
      <c r="AC22" s="18">
        <f t="shared" si="23"/>
        <v>-20035.130062369179</v>
      </c>
    </row>
    <row r="23" spans="1:29" x14ac:dyDescent="0.2">
      <c r="A23" s="15">
        <v>15</v>
      </c>
      <c r="B23" s="16">
        <f t="shared" si="0"/>
        <v>5639.2850287111351</v>
      </c>
      <c r="C23" s="16">
        <f t="shared" si="9"/>
        <v>854.43712556229366</v>
      </c>
      <c r="D23" s="17">
        <f t="shared" si="1"/>
        <v>110404.25397067942</v>
      </c>
      <c r="E23" s="17">
        <f t="shared" si="2"/>
        <v>123604.25397067942</v>
      </c>
      <c r="F23" s="17">
        <f t="shared" si="10"/>
        <v>15713.977874345364</v>
      </c>
      <c r="G23" s="18">
        <f t="shared" si="11"/>
        <v>8800</v>
      </c>
      <c r="H23" s="6" t="str">
        <f t="shared" si="12"/>
        <v>No</v>
      </c>
      <c r="I23" s="18">
        <f t="shared" si="13"/>
        <v>-11604.25397067942</v>
      </c>
      <c r="K23" s="15">
        <v>15</v>
      </c>
      <c r="L23" s="16">
        <f t="shared" si="3"/>
        <v>651.73417492414967</v>
      </c>
      <c r="M23" s="16">
        <f t="shared" si="14"/>
        <v>58.28517011516783</v>
      </c>
      <c r="N23" s="17">
        <f t="shared" si="4"/>
        <v>22629.658851532975</v>
      </c>
      <c r="O23" s="17">
        <f t="shared" si="5"/>
        <v>29229.658851532975</v>
      </c>
      <c r="P23" s="17">
        <f t="shared" si="15"/>
        <v>2463.7906289988823</v>
      </c>
      <c r="Q23" s="18">
        <f t="shared" si="16"/>
        <v>2094</v>
      </c>
      <c r="R23" s="6" t="str">
        <f t="shared" si="17"/>
        <v>No</v>
      </c>
      <c r="S23" s="18">
        <f t="shared" si="18"/>
        <v>-17819.658851532975</v>
      </c>
      <c r="U23" s="15">
        <v>15</v>
      </c>
      <c r="V23" s="16">
        <f t="shared" si="6"/>
        <v>813.25969846861108</v>
      </c>
      <c r="W23" s="16">
        <f t="shared" si="19"/>
        <v>63.588206876146387</v>
      </c>
      <c r="X23" s="17">
        <f t="shared" si="7"/>
        <v>26619.091987302276</v>
      </c>
      <c r="Y23" s="17">
        <f t="shared" si="8"/>
        <v>39819.091987302279</v>
      </c>
      <c r="Z23" s="17">
        <f t="shared" si="20"/>
        <v>1983.9619249331008</v>
      </c>
      <c r="AA23" s="18">
        <f t="shared" si="21"/>
        <v>2700</v>
      </c>
      <c r="AB23" s="6" t="str">
        <f t="shared" si="22"/>
        <v>Yes</v>
      </c>
      <c r="AC23" s="18">
        <f t="shared" si="23"/>
        <v>-19319.091987302279</v>
      </c>
    </row>
    <row r="24" spans="1:29" x14ac:dyDescent="0.2">
      <c r="A24" s="15">
        <v>16</v>
      </c>
      <c r="B24" s="16">
        <f t="shared" si="0"/>
        <v>6616.761100354398</v>
      </c>
      <c r="C24" s="16">
        <f t="shared" si="9"/>
        <v>977.47607164326291</v>
      </c>
      <c r="D24" s="17">
        <f t="shared" si="1"/>
        <v>127374.32465893052</v>
      </c>
      <c r="E24" s="17">
        <f t="shared" si="2"/>
        <v>141454.32465893053</v>
      </c>
      <c r="F24" s="17">
        <f t="shared" si="10"/>
        <v>17850.070688251115</v>
      </c>
      <c r="G24" s="18">
        <f t="shared" si="11"/>
        <v>8800</v>
      </c>
      <c r="H24" s="6" t="str">
        <f t="shared" si="12"/>
        <v>No</v>
      </c>
      <c r="I24" s="18">
        <f t="shared" si="13"/>
        <v>-20654.324658930534</v>
      </c>
      <c r="K24" s="15">
        <v>16</v>
      </c>
      <c r="L24" s="16">
        <f t="shared" si="3"/>
        <v>712.5626979170703</v>
      </c>
      <c r="M24" s="16">
        <f t="shared" si="14"/>
        <v>60.828522992920625</v>
      </c>
      <c r="N24" s="17">
        <f t="shared" si="4"/>
        <v>24741.760344342718</v>
      </c>
      <c r="O24" s="17">
        <f t="shared" si="5"/>
        <v>31781.760344342718</v>
      </c>
      <c r="P24" s="17">
        <f t="shared" si="15"/>
        <v>2552.1014928097429</v>
      </c>
      <c r="Q24" s="18">
        <f t="shared" si="16"/>
        <v>2094</v>
      </c>
      <c r="R24" s="6" t="str">
        <f t="shared" si="17"/>
        <v>No</v>
      </c>
      <c r="S24" s="18">
        <f t="shared" si="18"/>
        <v>-18277.760344342718</v>
      </c>
      <c r="U24" s="15">
        <v>16</v>
      </c>
      <c r="V24" s="16">
        <f t="shared" si="6"/>
        <v>878.32047434610013</v>
      </c>
      <c r="W24" s="16">
        <f t="shared" si="19"/>
        <v>65.06077587748905</v>
      </c>
      <c r="X24" s="17">
        <f t="shared" si="7"/>
        <v>27748.619346286461</v>
      </c>
      <c r="Y24" s="17">
        <f t="shared" si="8"/>
        <v>41828.619346286461</v>
      </c>
      <c r="Z24" s="17">
        <f t="shared" si="20"/>
        <v>2009.5273589841818</v>
      </c>
      <c r="AA24" s="18">
        <f t="shared" si="21"/>
        <v>2700</v>
      </c>
      <c r="AB24" s="6" t="str">
        <f t="shared" si="22"/>
        <v>Yes</v>
      </c>
      <c r="AC24" s="18">
        <f t="shared" si="23"/>
        <v>-18628.619346286461</v>
      </c>
    </row>
    <row r="25" spans="1:29" x14ac:dyDescent="0.2">
      <c r="A25" s="15">
        <v>17</v>
      </c>
      <c r="B25" s="16">
        <f t="shared" si="0"/>
        <v>7733.3395360392033</v>
      </c>
      <c r="C25" s="16">
        <f t="shared" si="9"/>
        <v>1116.5784356848053</v>
      </c>
      <c r="D25" s="17">
        <f t="shared" si="1"/>
        <v>146759.36694512505</v>
      </c>
      <c r="E25" s="17">
        <f t="shared" si="2"/>
        <v>161719.36694512505</v>
      </c>
      <c r="F25" s="17">
        <f t="shared" si="10"/>
        <v>20265.042286194512</v>
      </c>
      <c r="G25" s="18">
        <f t="shared" si="11"/>
        <v>8800</v>
      </c>
      <c r="H25" s="6" t="str">
        <f t="shared" si="12"/>
        <v>No</v>
      </c>
      <c r="I25" s="18">
        <f t="shared" si="13"/>
        <v>-32119.366945125046</v>
      </c>
      <c r="K25" s="15">
        <v>17</v>
      </c>
      <c r="L25" s="16">
        <f t="shared" si="3"/>
        <v>776.02531320030937</v>
      </c>
      <c r="M25" s="16">
        <f t="shared" si="14"/>
        <v>63.462615283239074</v>
      </c>
      <c r="N25" s="17">
        <f t="shared" si="4"/>
        <v>25972.66168750537</v>
      </c>
      <c r="O25" s="17">
        <f t="shared" si="5"/>
        <v>33452.661687505373</v>
      </c>
      <c r="P25" s="17">
        <f t="shared" si="15"/>
        <v>1670.9013431626554</v>
      </c>
      <c r="Q25" s="18">
        <f t="shared" si="16"/>
        <v>2094</v>
      </c>
      <c r="R25" s="6" t="str">
        <f t="shared" si="17"/>
        <v>Yes</v>
      </c>
      <c r="S25" s="18">
        <f t="shared" si="18"/>
        <v>-17854.661687505373</v>
      </c>
      <c r="U25" s="15">
        <v>17</v>
      </c>
      <c r="V25" s="16">
        <f t="shared" si="6"/>
        <v>944.88069779264049</v>
      </c>
      <c r="W25" s="16">
        <f t="shared" si="19"/>
        <v>66.560223446540363</v>
      </c>
      <c r="X25" s="17">
        <f t="shared" si="7"/>
        <v>28904.178781122231</v>
      </c>
      <c r="Y25" s="17">
        <f t="shared" si="8"/>
        <v>43864.178781122231</v>
      </c>
      <c r="Z25" s="17">
        <f t="shared" si="20"/>
        <v>2035.5594348357699</v>
      </c>
      <c r="AA25" s="18">
        <f t="shared" si="21"/>
        <v>2700</v>
      </c>
      <c r="AB25" s="6" t="str">
        <f t="shared" si="22"/>
        <v>Yes</v>
      </c>
      <c r="AC25" s="18">
        <f t="shared" si="23"/>
        <v>-17964.178781122231</v>
      </c>
    </row>
    <row r="26" spans="1:29" x14ac:dyDescent="0.2">
      <c r="A26" s="15">
        <v>18</v>
      </c>
      <c r="B26" s="16">
        <f t="shared" si="0"/>
        <v>9007.0660478574246</v>
      </c>
      <c r="C26" s="16">
        <f t="shared" si="9"/>
        <v>1273.7265118182213</v>
      </c>
      <c r="D26" s="17">
        <f t="shared" si="1"/>
        <v>168872.67444196917</v>
      </c>
      <c r="E26" s="17">
        <f t="shared" si="2"/>
        <v>184712.67444196917</v>
      </c>
      <c r="F26" s="17">
        <f t="shared" si="10"/>
        <v>22993.307496844121</v>
      </c>
      <c r="G26" s="18">
        <f t="shared" si="11"/>
        <v>8800</v>
      </c>
      <c r="H26" s="6" t="str">
        <f t="shared" si="12"/>
        <v>No</v>
      </c>
      <c r="I26" s="18">
        <f t="shared" si="13"/>
        <v>-46312.674441969168</v>
      </c>
      <c r="K26" s="15">
        <v>18</v>
      </c>
      <c r="L26" s="16">
        <f t="shared" si="3"/>
        <v>842.2157075615122</v>
      </c>
      <c r="M26" s="16">
        <f t="shared" si="14"/>
        <v>66.190394361202834</v>
      </c>
      <c r="N26" s="17">
        <f t="shared" si="4"/>
        <v>27121.800478498477</v>
      </c>
      <c r="O26" s="17">
        <f t="shared" si="5"/>
        <v>35041.800478498481</v>
      </c>
      <c r="P26" s="17">
        <f t="shared" si="15"/>
        <v>1589.1387909931072</v>
      </c>
      <c r="Q26" s="18">
        <f t="shared" si="16"/>
        <v>2094</v>
      </c>
      <c r="R26" s="6" t="str">
        <f t="shared" si="17"/>
        <v>Yes</v>
      </c>
      <c r="S26" s="18">
        <f t="shared" si="18"/>
        <v>-17349.800478498481</v>
      </c>
      <c r="U26" s="15">
        <v>18</v>
      </c>
      <c r="V26" s="16">
        <f t="shared" si="6"/>
        <v>1012.9676892512279</v>
      </c>
      <c r="W26" s="16">
        <f t="shared" si="19"/>
        <v>68.086991458587363</v>
      </c>
      <c r="X26" s="17">
        <f t="shared" si="7"/>
        <v>30086.244605056039</v>
      </c>
      <c r="Y26" s="17">
        <f t="shared" si="8"/>
        <v>45926.244605056039</v>
      </c>
      <c r="Z26" s="17">
        <f t="shared" si="20"/>
        <v>2062.0658239338081</v>
      </c>
      <c r="AA26" s="18">
        <f t="shared" si="21"/>
        <v>2700</v>
      </c>
      <c r="AB26" s="6" t="str">
        <f t="shared" si="22"/>
        <v>Yes</v>
      </c>
      <c r="AC26" s="18">
        <f t="shared" si="23"/>
        <v>-17326.244605056039</v>
      </c>
    </row>
    <row r="27" spans="1:29" x14ac:dyDescent="0.2">
      <c r="A27" s="15">
        <v>19</v>
      </c>
      <c r="B27" s="16">
        <f t="shared" si="0"/>
        <v>10458.204466678902</v>
      </c>
      <c r="C27" s="16">
        <f t="shared" si="9"/>
        <v>1451.1384188214779</v>
      </c>
      <c r="D27" s="17">
        <f t="shared" si="1"/>
        <v>194066.04976873094</v>
      </c>
      <c r="E27" s="17">
        <f t="shared" si="2"/>
        <v>210786.04976873094</v>
      </c>
      <c r="F27" s="17">
        <f t="shared" si="10"/>
        <v>26073.375326761772</v>
      </c>
      <c r="G27" s="18">
        <f t="shared" si="11"/>
        <v>8800</v>
      </c>
      <c r="H27" s="6" t="str">
        <f t="shared" si="12"/>
        <v>No</v>
      </c>
      <c r="I27" s="18">
        <f t="shared" si="13"/>
        <v>-63586.04976873094</v>
      </c>
      <c r="K27" s="15">
        <v>19</v>
      </c>
      <c r="L27" s="16">
        <f t="shared" si="3"/>
        <v>911.23060582002495</v>
      </c>
      <c r="M27" s="16">
        <f t="shared" si="14"/>
        <v>69.014898258512744</v>
      </c>
      <c r="N27" s="17">
        <f t="shared" si="4"/>
        <v>28319.975795486545</v>
      </c>
      <c r="O27" s="17">
        <f t="shared" si="5"/>
        <v>36679.975795486549</v>
      </c>
      <c r="P27" s="17">
        <f t="shared" si="15"/>
        <v>1638.1753169880685</v>
      </c>
      <c r="Q27" s="18">
        <f t="shared" si="16"/>
        <v>2094</v>
      </c>
      <c r="R27" s="6" t="str">
        <f t="shared" si="17"/>
        <v>Yes</v>
      </c>
      <c r="S27" s="18">
        <f t="shared" si="18"/>
        <v>-16893.975795486549</v>
      </c>
      <c r="U27" s="15">
        <v>19</v>
      </c>
      <c r="V27" s="16">
        <f t="shared" si="6"/>
        <v>1082.6092178872495</v>
      </c>
      <c r="W27" s="16">
        <f t="shared" si="19"/>
        <v>69.64152863602169</v>
      </c>
      <c r="X27" s="17">
        <f t="shared" si="7"/>
        <v>31295.298921653637</v>
      </c>
      <c r="Y27" s="17">
        <f t="shared" si="8"/>
        <v>48015.298921653637</v>
      </c>
      <c r="Z27" s="17">
        <f t="shared" si="20"/>
        <v>2089.0543165975978</v>
      </c>
      <c r="AA27" s="18">
        <f t="shared" si="21"/>
        <v>2700</v>
      </c>
      <c r="AB27" s="6" t="str">
        <f t="shared" si="22"/>
        <v>Yes</v>
      </c>
      <c r="AC27" s="18">
        <f t="shared" si="23"/>
        <v>-16715.298921653637</v>
      </c>
    </row>
    <row r="28" spans="1:29" x14ac:dyDescent="0.2">
      <c r="A28" s="15">
        <v>20</v>
      </c>
      <c r="B28" s="16">
        <f t="shared" si="0"/>
        <v>12109.499908786096</v>
      </c>
      <c r="C28" s="16">
        <f t="shared" si="9"/>
        <v>1651.2954421071936</v>
      </c>
      <c r="D28" s="17">
        <f t="shared" si="1"/>
        <v>222734.37341642528</v>
      </c>
      <c r="E28" s="17">
        <f t="shared" si="2"/>
        <v>240334.37341642528</v>
      </c>
      <c r="F28" s="17">
        <f t="shared" si="10"/>
        <v>29548.323647694342</v>
      </c>
      <c r="G28" s="18">
        <f t="shared" si="11"/>
        <v>8800</v>
      </c>
      <c r="H28" s="6" t="str">
        <f t="shared" si="12"/>
        <v>No</v>
      </c>
      <c r="I28" s="18">
        <f t="shared" si="13"/>
        <v>-84334.373416425282</v>
      </c>
      <c r="K28" s="15">
        <v>20</v>
      </c>
      <c r="L28" s="16">
        <f t="shared" si="3"/>
        <v>983.16986417423732</v>
      </c>
      <c r="M28" s="16">
        <f t="shared" si="14"/>
        <v>71.93925835421237</v>
      </c>
      <c r="N28" s="17">
        <f t="shared" si="4"/>
        <v>29568.921253024953</v>
      </c>
      <c r="O28" s="17">
        <f t="shared" si="5"/>
        <v>38368.92125302495</v>
      </c>
      <c r="P28" s="17">
        <f t="shared" si="15"/>
        <v>1688.9454575384007</v>
      </c>
      <c r="Q28" s="18">
        <f t="shared" si="16"/>
        <v>2094</v>
      </c>
      <c r="R28" s="6" t="str">
        <f t="shared" si="17"/>
        <v>Yes</v>
      </c>
      <c r="S28" s="18">
        <f t="shared" si="18"/>
        <v>-16488.92125302495</v>
      </c>
      <c r="U28" s="15">
        <v>20</v>
      </c>
      <c r="V28" s="16">
        <f t="shared" si="6"/>
        <v>1153.8335085377266</v>
      </c>
      <c r="W28" s="16">
        <f t="shared" si="19"/>
        <v>71.224290650477087</v>
      </c>
      <c r="X28" s="17">
        <f t="shared" si="7"/>
        <v>32531.831745446641</v>
      </c>
      <c r="Y28" s="17">
        <f t="shared" si="8"/>
        <v>50131.831745446645</v>
      </c>
      <c r="Z28" s="17">
        <f t="shared" si="20"/>
        <v>2116.532823793008</v>
      </c>
      <c r="AA28" s="18">
        <f t="shared" si="21"/>
        <v>2700</v>
      </c>
      <c r="AB28" s="6" t="str">
        <f t="shared" si="22"/>
        <v>Yes</v>
      </c>
      <c r="AC28" s="18">
        <f t="shared" si="23"/>
        <v>-16131.831745446645</v>
      </c>
    </row>
    <row r="29" spans="1:29" x14ac:dyDescent="0.2">
      <c r="A29" s="15">
        <v>21</v>
      </c>
      <c r="B29" s="16">
        <f t="shared" si="0"/>
        <v>13986.472394647943</v>
      </c>
      <c r="C29" s="16">
        <f t="shared" si="9"/>
        <v>1876.9724858618465</v>
      </c>
      <c r="D29" s="17">
        <f t="shared" si="1"/>
        <v>255320.70129597123</v>
      </c>
      <c r="E29" s="17">
        <f t="shared" si="2"/>
        <v>273800.70129597123</v>
      </c>
      <c r="F29" s="17">
        <f t="shared" si="10"/>
        <v>33466.327879545948</v>
      </c>
      <c r="G29" s="18">
        <f t="shared" si="11"/>
        <v>8800</v>
      </c>
      <c r="H29" s="6" t="str">
        <f t="shared" si="12"/>
        <v>No</v>
      </c>
      <c r="I29" s="18">
        <f t="shared" si="13"/>
        <v>-109000.70129597123</v>
      </c>
      <c r="K29" s="15">
        <v>21</v>
      </c>
      <c r="L29" s="16">
        <f t="shared" si="3"/>
        <v>1058.1365663175229</v>
      </c>
      <c r="M29" s="16">
        <f t="shared" si="14"/>
        <v>74.966702143285602</v>
      </c>
      <c r="N29" s="17">
        <f t="shared" si="4"/>
        <v>30870.426498568107</v>
      </c>
      <c r="O29" s="17">
        <f t="shared" si="5"/>
        <v>40110.426498568107</v>
      </c>
      <c r="P29" s="17">
        <f t="shared" si="15"/>
        <v>1741.5052455431578</v>
      </c>
      <c r="Q29" s="18">
        <f t="shared" si="16"/>
        <v>2094</v>
      </c>
      <c r="R29" s="6" t="str">
        <f t="shared" si="17"/>
        <v>Yes</v>
      </c>
      <c r="S29" s="18">
        <f t="shared" si="18"/>
        <v>-16136.426498568107</v>
      </c>
      <c r="U29" s="15">
        <v>21</v>
      </c>
      <c r="V29" s="16">
        <f t="shared" si="6"/>
        <v>1226.6692487641703</v>
      </c>
      <c r="W29" s="16">
        <f t="shared" si="19"/>
        <v>72.835740226443704</v>
      </c>
      <c r="X29" s="17">
        <f t="shared" si="7"/>
        <v>33796.341124377956</v>
      </c>
      <c r="Y29" s="17">
        <f t="shared" si="8"/>
        <v>52276.341124377956</v>
      </c>
      <c r="Z29" s="17">
        <f t="shared" si="20"/>
        <v>2144.5093789313105</v>
      </c>
      <c r="AA29" s="18">
        <f t="shared" si="21"/>
        <v>2700</v>
      </c>
      <c r="AB29" s="6" t="str">
        <f t="shared" si="22"/>
        <v>Yes</v>
      </c>
      <c r="AC29" s="18">
        <f t="shared" si="23"/>
        <v>-15576.341124377956</v>
      </c>
    </row>
    <row r="30" spans="1:29" x14ac:dyDescent="0.2">
      <c r="A30" s="15">
        <v>22</v>
      </c>
      <c r="B30" s="16">
        <f t="shared" si="0"/>
        <v>16117.744378594298</v>
      </c>
      <c r="C30" s="16">
        <f t="shared" si="9"/>
        <v>2131.2719839463552</v>
      </c>
      <c r="D30" s="17">
        <f t="shared" si="1"/>
        <v>292321.95101726212</v>
      </c>
      <c r="E30" s="17">
        <f t="shared" si="2"/>
        <v>311681.95101726212</v>
      </c>
      <c r="F30" s="17">
        <f t="shared" si="10"/>
        <v>37881.249721290893</v>
      </c>
      <c r="G30" s="18">
        <f t="shared" si="11"/>
        <v>8800</v>
      </c>
      <c r="H30" s="6" t="str">
        <f t="shared" si="12"/>
        <v>No</v>
      </c>
      <c r="I30" s="18">
        <f t="shared" si="13"/>
        <v>-138081.95101726212</v>
      </c>
      <c r="K30" s="15">
        <v>22</v>
      </c>
      <c r="L30" s="16">
        <f t="shared" si="3"/>
        <v>1136.2371224028639</v>
      </c>
      <c r="M30" s="16">
        <f t="shared" si="14"/>
        <v>78.100556085340941</v>
      </c>
      <c r="N30" s="17">
        <f t="shared" si="4"/>
        <v>32226.338930605274</v>
      </c>
      <c r="O30" s="17">
        <f t="shared" si="5"/>
        <v>41906.33893060527</v>
      </c>
      <c r="P30" s="17">
        <f t="shared" si="15"/>
        <v>1795.9124320371629</v>
      </c>
      <c r="Q30" s="18">
        <f t="shared" si="16"/>
        <v>2094</v>
      </c>
      <c r="R30" s="6" t="str">
        <f t="shared" si="17"/>
        <v>Yes</v>
      </c>
      <c r="S30" s="18">
        <f t="shared" si="18"/>
        <v>-15838.33893060527</v>
      </c>
      <c r="U30" s="15">
        <v>22</v>
      </c>
      <c r="V30" s="16">
        <f t="shared" si="6"/>
        <v>1301.1455960105666</v>
      </c>
      <c r="W30" s="16">
        <f t="shared" si="19"/>
        <v>74.476347246396244</v>
      </c>
      <c r="X30" s="17">
        <f t="shared" si="7"/>
        <v>35089.333264072338</v>
      </c>
      <c r="Y30" s="17">
        <f t="shared" si="8"/>
        <v>54449.333264072338</v>
      </c>
      <c r="Z30" s="17">
        <f t="shared" si="20"/>
        <v>2172.9921396943828</v>
      </c>
      <c r="AA30" s="18">
        <f t="shared" si="21"/>
        <v>2700</v>
      </c>
      <c r="AB30" s="6" t="str">
        <f t="shared" si="22"/>
        <v>Yes</v>
      </c>
      <c r="AC30" s="18">
        <f t="shared" si="23"/>
        <v>-15049.333264072338</v>
      </c>
    </row>
    <row r="31" spans="1:29" x14ac:dyDescent="0.2">
      <c r="A31" s="15">
        <v>23</v>
      </c>
      <c r="B31" s="16">
        <f t="shared" si="0"/>
        <v>18535.406035383447</v>
      </c>
      <c r="C31" s="16">
        <f t="shared" si="9"/>
        <v>2417.6616567891488</v>
      </c>
      <c r="D31" s="17">
        <f t="shared" si="1"/>
        <v>334295.24366985151</v>
      </c>
      <c r="E31" s="17">
        <f t="shared" si="2"/>
        <v>354535.24366985151</v>
      </c>
      <c r="F31" s="17">
        <f t="shared" si="10"/>
        <v>42853.292652589385</v>
      </c>
      <c r="G31" s="18">
        <f t="shared" si="11"/>
        <v>8800</v>
      </c>
      <c r="H31" s="6" t="str">
        <f t="shared" si="12"/>
        <v>No</v>
      </c>
      <c r="I31" s="18">
        <f t="shared" si="13"/>
        <v>-172135.24366985151</v>
      </c>
      <c r="K31" s="15">
        <v>23</v>
      </c>
      <c r="L31" s="16">
        <f t="shared" si="3"/>
        <v>1217.5813709385234</v>
      </c>
      <c r="M31" s="16">
        <f t="shared" si="14"/>
        <v>81.344248535659517</v>
      </c>
      <c r="N31" s="17">
        <f t="shared" si="4"/>
        <v>33638.565467682696</v>
      </c>
      <c r="O31" s="17">
        <f t="shared" si="5"/>
        <v>43758.565467682696</v>
      </c>
      <c r="P31" s="17">
        <f t="shared" si="15"/>
        <v>1852.2265370774257</v>
      </c>
      <c r="Q31" s="18">
        <f t="shared" si="16"/>
        <v>2094</v>
      </c>
      <c r="R31" s="6" t="str">
        <f t="shared" si="17"/>
        <v>Yes</v>
      </c>
      <c r="S31" s="18">
        <f t="shared" si="18"/>
        <v>-15596.565467682696</v>
      </c>
      <c r="U31" s="15">
        <v>23</v>
      </c>
      <c r="V31" s="16">
        <f t="shared" si="6"/>
        <v>1377.292184868003</v>
      </c>
      <c r="W31" s="16">
        <f t="shared" si="19"/>
        <v>76.146588857436427</v>
      </c>
      <c r="X31" s="17">
        <f t="shared" si="7"/>
        <v>36411.322653958385</v>
      </c>
      <c r="Y31" s="17">
        <f t="shared" si="8"/>
        <v>56651.322653958385</v>
      </c>
      <c r="Z31" s="17">
        <f t="shared" si="20"/>
        <v>2201.9893898860464</v>
      </c>
      <c r="AA31" s="18">
        <f t="shared" si="21"/>
        <v>2700</v>
      </c>
      <c r="AB31" s="6" t="str">
        <f t="shared" si="22"/>
        <v>Yes</v>
      </c>
      <c r="AC31" s="18">
        <f t="shared" si="23"/>
        <v>-14551.322653958385</v>
      </c>
    </row>
    <row r="32" spans="1:29" x14ac:dyDescent="0.2">
      <c r="A32" s="15">
        <v>24</v>
      </c>
      <c r="B32" s="16">
        <f t="shared" si="0"/>
        <v>21275.422579744474</v>
      </c>
      <c r="C32" s="16">
        <f t="shared" si="9"/>
        <v>2740.0165443610276</v>
      </c>
      <c r="D32" s="17">
        <f t="shared" si="1"/>
        <v>381864.975342786</v>
      </c>
      <c r="E32" s="17">
        <f t="shared" si="2"/>
        <v>402984.975342786</v>
      </c>
      <c r="F32" s="17">
        <f t="shared" si="10"/>
        <v>48449.731672934489</v>
      </c>
      <c r="G32" s="18">
        <f t="shared" si="11"/>
        <v>8800</v>
      </c>
      <c r="H32" s="6" t="str">
        <f t="shared" si="12"/>
        <v>No</v>
      </c>
      <c r="I32" s="18">
        <f t="shared" si="13"/>
        <v>-211784.975342786</v>
      </c>
      <c r="K32" s="15">
        <v>24</v>
      </c>
      <c r="L32" s="16">
        <f t="shared" si="3"/>
        <v>1302.2826836994641</v>
      </c>
      <c r="M32" s="16">
        <f t="shared" si="14"/>
        <v>84.701312760940709</v>
      </c>
      <c r="N32" s="17">
        <f t="shared" si="4"/>
        <v>35109.074369782364</v>
      </c>
      <c r="O32" s="17">
        <f t="shared" si="5"/>
        <v>45669.074369782364</v>
      </c>
      <c r="P32" s="17">
        <f t="shared" si="15"/>
        <v>1910.5089020996675</v>
      </c>
      <c r="Q32" s="18">
        <f t="shared" si="16"/>
        <v>2094</v>
      </c>
      <c r="R32" s="6" t="str">
        <f t="shared" si="17"/>
        <v>Yes</v>
      </c>
      <c r="S32" s="18">
        <f t="shared" si="18"/>
        <v>-15413.074369782364</v>
      </c>
      <c r="U32" s="15">
        <v>24</v>
      </c>
      <c r="V32" s="16">
        <f t="shared" si="6"/>
        <v>1455.1391344474989</v>
      </c>
      <c r="W32" s="16">
        <f t="shared" si="19"/>
        <v>77.846949579495913</v>
      </c>
      <c r="X32" s="17">
        <f t="shared" si="7"/>
        <v>37762.832195269075</v>
      </c>
      <c r="Y32" s="17">
        <f t="shared" si="8"/>
        <v>58882.832195269075</v>
      </c>
      <c r="Z32" s="17">
        <f t="shared" si="20"/>
        <v>2231.5095413106901</v>
      </c>
      <c r="AA32" s="18">
        <f t="shared" si="21"/>
        <v>2700</v>
      </c>
      <c r="AB32" s="6" t="str">
        <f t="shared" si="22"/>
        <v>Yes</v>
      </c>
      <c r="AC32" s="18">
        <f t="shared" si="23"/>
        <v>-14082.832195269075</v>
      </c>
    </row>
    <row r="33" spans="1:29" x14ac:dyDescent="0.2">
      <c r="A33" s="15">
        <v>25</v>
      </c>
      <c r="B33" s="16">
        <f t="shared" si="0"/>
        <v>24378.088372623879</v>
      </c>
      <c r="C33" s="16">
        <f t="shared" si="9"/>
        <v>3102.6657928794048</v>
      </c>
      <c r="D33" s="17">
        <f t="shared" si="1"/>
        <v>435730.70091360901</v>
      </c>
      <c r="E33" s="17">
        <f t="shared" si="2"/>
        <v>457730.70091360901</v>
      </c>
      <c r="F33" s="17">
        <f t="shared" si="10"/>
        <v>54745.725570823008</v>
      </c>
      <c r="G33" s="18">
        <f t="shared" si="11"/>
        <v>8800</v>
      </c>
      <c r="H33" s="6" t="str">
        <f t="shared" si="12"/>
        <v>No</v>
      </c>
      <c r="I33" s="18">
        <f t="shared" si="13"/>
        <v>-257730.70091360901</v>
      </c>
      <c r="K33" s="15">
        <v>25</v>
      </c>
      <c r="L33" s="16">
        <f t="shared" si="3"/>
        <v>1390.4580737416152</v>
      </c>
      <c r="M33" s="16">
        <f t="shared" si="14"/>
        <v>88.175390042151093</v>
      </c>
      <c r="N33" s="17">
        <f t="shared" si="4"/>
        <v>36639.897113569707</v>
      </c>
      <c r="O33" s="17">
        <f t="shared" si="5"/>
        <v>47639.897113569707</v>
      </c>
      <c r="P33" s="17">
        <f t="shared" si="15"/>
        <v>1970.8227437873429</v>
      </c>
      <c r="Q33" s="18">
        <f t="shared" si="16"/>
        <v>2094</v>
      </c>
      <c r="R33" s="6" t="str">
        <f t="shared" si="17"/>
        <v>Yes</v>
      </c>
      <c r="S33" s="18">
        <f t="shared" si="18"/>
        <v>-15289.897113569707</v>
      </c>
      <c r="U33" s="15">
        <v>25</v>
      </c>
      <c r="V33" s="16">
        <f t="shared" si="6"/>
        <v>1534.7170558625965</v>
      </c>
      <c r="W33" s="16">
        <f t="shared" si="19"/>
        <v>79.577921415097535</v>
      </c>
      <c r="X33" s="17">
        <f t="shared" si="7"/>
        <v>39144.393330947853</v>
      </c>
      <c r="Y33" s="17">
        <f t="shared" si="8"/>
        <v>61144.393330947853</v>
      </c>
      <c r="Z33" s="17">
        <f t="shared" si="20"/>
        <v>2261.5611356787776</v>
      </c>
      <c r="AA33" s="18">
        <f t="shared" si="21"/>
        <v>2700</v>
      </c>
      <c r="AB33" s="6" t="str">
        <f t="shared" si="22"/>
        <v>Yes</v>
      </c>
      <c r="AC33" s="18">
        <f t="shared" si="23"/>
        <v>-13644.393330947853</v>
      </c>
    </row>
    <row r="34" spans="1:29" x14ac:dyDescent="0.2">
      <c r="A34" s="15">
        <v>26</v>
      </c>
      <c r="B34" s="16">
        <f t="shared" si="0"/>
        <v>27888.533098281721</v>
      </c>
      <c r="C34" s="16">
        <f t="shared" si="9"/>
        <v>3510.4447256578424</v>
      </c>
      <c r="D34" s="17">
        <f t="shared" si="1"/>
        <v>496675.92184516875</v>
      </c>
      <c r="E34" s="17">
        <f t="shared" si="2"/>
        <v>519555.92184516875</v>
      </c>
      <c r="F34" s="17">
        <f t="shared" si="10"/>
        <v>61825.220931559743</v>
      </c>
      <c r="G34" s="18">
        <f t="shared" si="11"/>
        <v>8800</v>
      </c>
      <c r="H34" s="6" t="str">
        <f t="shared" si="12"/>
        <v>No</v>
      </c>
      <c r="I34" s="18">
        <f t="shared" si="13"/>
        <v>-310755.92184516875</v>
      </c>
      <c r="K34" s="15">
        <v>26</v>
      </c>
      <c r="L34" s="16">
        <f t="shared" si="3"/>
        <v>1482.2283066085615</v>
      </c>
      <c r="M34" s="16">
        <f t="shared" si="14"/>
        <v>91.770232866946344</v>
      </c>
      <c r="N34" s="17">
        <f t="shared" si="4"/>
        <v>38233.130323065307</v>
      </c>
      <c r="O34" s="17">
        <f t="shared" si="5"/>
        <v>49673.130323065307</v>
      </c>
      <c r="P34" s="17">
        <f t="shared" si="15"/>
        <v>2033.2332094956</v>
      </c>
      <c r="Q34" s="18">
        <f t="shared" si="16"/>
        <v>2094</v>
      </c>
      <c r="R34" s="6" t="str">
        <f t="shared" si="17"/>
        <v>Yes</v>
      </c>
      <c r="S34" s="18">
        <f t="shared" si="18"/>
        <v>-15229.130323065307</v>
      </c>
      <c r="U34" s="15">
        <v>26</v>
      </c>
      <c r="V34" s="16">
        <f t="shared" si="6"/>
        <v>1616.0570598233144</v>
      </c>
      <c r="W34" s="16">
        <f t="shared" si="19"/>
        <v>81.340003960717922</v>
      </c>
      <c r="X34" s="17">
        <f t="shared" si="7"/>
        <v>40556.546177488097</v>
      </c>
      <c r="Y34" s="17">
        <f t="shared" si="8"/>
        <v>63436.546177488097</v>
      </c>
      <c r="Z34" s="17">
        <f t="shared" si="20"/>
        <v>2292.1528465402444</v>
      </c>
      <c r="AA34" s="18">
        <f t="shared" si="21"/>
        <v>2700</v>
      </c>
      <c r="AB34" s="6" t="str">
        <f t="shared" si="22"/>
        <v>Yes</v>
      </c>
      <c r="AC34" s="18">
        <f t="shared" si="23"/>
        <v>-13236.546177488097</v>
      </c>
    </row>
    <row r="35" spans="1:29" x14ac:dyDescent="0.2">
      <c r="A35" s="15">
        <v>27</v>
      </c>
      <c r="B35" s="16">
        <f t="shared" si="0"/>
        <v>31857.285885344892</v>
      </c>
      <c r="C35" s="16">
        <f t="shared" si="9"/>
        <v>3968.7527870631711</v>
      </c>
      <c r="D35" s="17">
        <f t="shared" si="1"/>
        <v>565577.87995390443</v>
      </c>
      <c r="E35" s="17">
        <f t="shared" si="2"/>
        <v>589337.87995390443</v>
      </c>
      <c r="F35" s="17">
        <f t="shared" si="10"/>
        <v>69781.958108735678</v>
      </c>
      <c r="G35" s="18">
        <f t="shared" si="11"/>
        <v>8800</v>
      </c>
      <c r="H35" s="6" t="str">
        <f t="shared" si="12"/>
        <v>No</v>
      </c>
      <c r="I35" s="18">
        <f t="shared" si="13"/>
        <v>-371737.87995390443</v>
      </c>
      <c r="K35" s="15">
        <v>27</v>
      </c>
      <c r="L35" s="16">
        <f t="shared" si="3"/>
        <v>1577.7180148227669</v>
      </c>
      <c r="M35" s="16">
        <f t="shared" si="14"/>
        <v>95.489708214205393</v>
      </c>
      <c r="N35" s="17">
        <f t="shared" si="4"/>
        <v>39890.937757339707</v>
      </c>
      <c r="O35" s="17">
        <f t="shared" si="5"/>
        <v>51770.937757339707</v>
      </c>
      <c r="P35" s="17">
        <f t="shared" si="15"/>
        <v>2097.8074342744003</v>
      </c>
      <c r="Q35" s="18">
        <f t="shared" si="16"/>
        <v>2094</v>
      </c>
      <c r="R35" s="6" t="str">
        <f t="shared" si="17"/>
        <v>No</v>
      </c>
      <c r="S35" s="18">
        <f t="shared" si="18"/>
        <v>-15232.937757339707</v>
      </c>
      <c r="U35" s="15">
        <v>27</v>
      </c>
      <c r="V35" s="16">
        <f t="shared" si="6"/>
        <v>1699.1907643430709</v>
      </c>
      <c r="W35" s="16">
        <f t="shared" si="19"/>
        <v>83.13370451975652</v>
      </c>
      <c r="X35" s="17">
        <f t="shared" si="7"/>
        <v>41999.839658733865</v>
      </c>
      <c r="Y35" s="17">
        <f t="shared" si="8"/>
        <v>65759.839658733865</v>
      </c>
      <c r="Z35" s="17">
        <f t="shared" si="20"/>
        <v>2323.2934812457679</v>
      </c>
      <c r="AA35" s="18">
        <f t="shared" si="21"/>
        <v>2700</v>
      </c>
      <c r="AB35" s="6" t="str">
        <f t="shared" si="22"/>
        <v>Yes</v>
      </c>
      <c r="AC35" s="18">
        <f t="shared" si="23"/>
        <v>-12859.839658733865</v>
      </c>
    </row>
    <row r="36" spans="1:29" x14ac:dyDescent="0.2">
      <c r="A36" s="15">
        <v>28</v>
      </c>
      <c r="B36" s="16">
        <f t="shared" si="0"/>
        <v>36340.903898837874</v>
      </c>
      <c r="C36" s="16">
        <f t="shared" si="9"/>
        <v>4483.6180134929818</v>
      </c>
      <c r="D36" s="17">
        <f t="shared" si="1"/>
        <v>643418.4704659353</v>
      </c>
      <c r="E36" s="17">
        <f t="shared" si="2"/>
        <v>668058.4704659353</v>
      </c>
      <c r="F36" s="17">
        <f t="shared" si="10"/>
        <v>78720.590512030874</v>
      </c>
      <c r="G36" s="18">
        <f t="shared" si="11"/>
        <v>8800</v>
      </c>
      <c r="H36" s="6" t="str">
        <f t="shared" si="12"/>
        <v>No</v>
      </c>
      <c r="I36" s="18">
        <f t="shared" si="13"/>
        <v>-441658.4704659353</v>
      </c>
      <c r="K36" s="15">
        <v>28</v>
      </c>
      <c r="L36" s="16">
        <f t="shared" si="3"/>
        <v>1677.0558157560522</v>
      </c>
      <c r="M36" s="16">
        <f t="shared" si="14"/>
        <v>99.33780093328528</v>
      </c>
      <c r="N36" s="17">
        <f t="shared" si="4"/>
        <v>41615.552356875909</v>
      </c>
      <c r="O36" s="17">
        <f t="shared" si="5"/>
        <v>53935.552356875909</v>
      </c>
      <c r="P36" s="17">
        <f t="shared" si="15"/>
        <v>2164.6145995362021</v>
      </c>
      <c r="Q36" s="18">
        <f t="shared" si="16"/>
        <v>2094</v>
      </c>
      <c r="R36" s="6" t="str">
        <f t="shared" si="17"/>
        <v>No</v>
      </c>
      <c r="S36" s="18">
        <f t="shared" si="18"/>
        <v>-15303.552356875909</v>
      </c>
      <c r="U36" s="15">
        <v>28</v>
      </c>
      <c r="V36" s="16">
        <f t="shared" si="6"/>
        <v>1784.1503025602246</v>
      </c>
      <c r="W36" s="16">
        <f t="shared" si="19"/>
        <v>84.959538217153749</v>
      </c>
      <c r="X36" s="17">
        <f t="shared" si="7"/>
        <v>43474.831641670564</v>
      </c>
      <c r="Y36" s="17">
        <f t="shared" si="8"/>
        <v>68114.831641670564</v>
      </c>
      <c r="Z36" s="17">
        <f t="shared" si="20"/>
        <v>2354.9919829366991</v>
      </c>
      <c r="AA36" s="18">
        <f t="shared" si="21"/>
        <v>2700</v>
      </c>
      <c r="AB36" s="6" t="str">
        <f t="shared" si="22"/>
        <v>Yes</v>
      </c>
      <c r="AC36" s="18">
        <f t="shared" si="23"/>
        <v>-12514.831641670564</v>
      </c>
    </row>
    <row r="37" spans="1:29" x14ac:dyDescent="0.2">
      <c r="A37" s="15">
        <v>29</v>
      </c>
      <c r="B37" s="16">
        <f t="shared" si="0"/>
        <v>41402.672656176008</v>
      </c>
      <c r="C37" s="16">
        <f t="shared" si="9"/>
        <v>5061.7687573381336</v>
      </c>
      <c r="D37" s="17">
        <f t="shared" si="1"/>
        <v>731296.40028083348</v>
      </c>
      <c r="E37" s="17">
        <f t="shared" si="2"/>
        <v>756816.40028083348</v>
      </c>
      <c r="F37" s="17">
        <f t="shared" si="10"/>
        <v>88757.929814898176</v>
      </c>
      <c r="G37" s="18">
        <f t="shared" si="11"/>
        <v>8800</v>
      </c>
      <c r="H37" s="6" t="str">
        <f t="shared" si="12"/>
        <v>No</v>
      </c>
      <c r="I37" s="18">
        <f t="shared" si="13"/>
        <v>-521616.40028083348</v>
      </c>
      <c r="K37" s="15">
        <v>29</v>
      </c>
      <c r="L37" s="16">
        <f t="shared" si="3"/>
        <v>1780.3744329767376</v>
      </c>
      <c r="M37" s="16">
        <f t="shared" si="14"/>
        <v>103.31861722068538</v>
      </c>
      <c r="N37" s="17">
        <f t="shared" si="4"/>
        <v>43409.27835029058</v>
      </c>
      <c r="O37" s="17">
        <f t="shared" si="5"/>
        <v>56169.27835029058</v>
      </c>
      <c r="P37" s="17">
        <f t="shared" si="15"/>
        <v>2233.7259934146714</v>
      </c>
      <c r="Q37" s="18">
        <f t="shared" si="16"/>
        <v>2094</v>
      </c>
      <c r="R37" s="6" t="str">
        <f t="shared" si="17"/>
        <v>No</v>
      </c>
      <c r="S37" s="18">
        <f t="shared" si="18"/>
        <v>-15443.27835029058</v>
      </c>
      <c r="U37" s="15">
        <v>29</v>
      </c>
      <c r="V37" s="16">
        <f t="shared" si="6"/>
        <v>1870.9683306758782</v>
      </c>
      <c r="W37" s="16">
        <f t="shared" si="19"/>
        <v>86.818028115653533</v>
      </c>
      <c r="X37" s="17">
        <f t="shared" si="7"/>
        <v>44982.089074233998</v>
      </c>
      <c r="Y37" s="17">
        <f t="shared" si="8"/>
        <v>70502.089074233998</v>
      </c>
      <c r="Z37" s="17">
        <f t="shared" si="20"/>
        <v>2387.2574325634341</v>
      </c>
      <c r="AA37" s="18">
        <f t="shared" si="21"/>
        <v>2700</v>
      </c>
      <c r="AB37" s="6" t="str">
        <f t="shared" si="22"/>
        <v>Yes</v>
      </c>
      <c r="AC37" s="18">
        <f t="shared" si="23"/>
        <v>-12202.089074233998</v>
      </c>
    </row>
    <row r="38" spans="1:29" x14ac:dyDescent="0.2">
      <c r="A38" s="15">
        <v>30</v>
      </c>
      <c r="B38" s="16">
        <f t="shared" si="0"/>
        <v>47113.386125993398</v>
      </c>
      <c r="C38" s="16">
        <f t="shared" si="9"/>
        <v>5710.7134698173904</v>
      </c>
      <c r="D38" s="17">
        <f t="shared" si="1"/>
        <v>830440.73135405208</v>
      </c>
      <c r="E38" s="17">
        <f t="shared" si="2"/>
        <v>856840.73135405208</v>
      </c>
      <c r="F38" s="17">
        <f t="shared" si="10"/>
        <v>100024.33107321861</v>
      </c>
      <c r="G38" s="18">
        <f t="shared" si="11"/>
        <v>8800</v>
      </c>
      <c r="H38" s="6" t="str">
        <f t="shared" si="12"/>
        <v>No</v>
      </c>
      <c r="I38" s="18">
        <f t="shared" si="13"/>
        <v>-612840.73135405208</v>
      </c>
      <c r="K38" s="15">
        <v>30</v>
      </c>
      <c r="L38" s="16">
        <f t="shared" si="3"/>
        <v>1887.8108211736092</v>
      </c>
      <c r="M38" s="16">
        <f t="shared" si="14"/>
        <v>107.43638819687158</v>
      </c>
      <c r="N38" s="17">
        <f t="shared" si="4"/>
        <v>45274.493423152933</v>
      </c>
      <c r="O38" s="17">
        <f t="shared" si="5"/>
        <v>58474.493423152933</v>
      </c>
      <c r="P38" s="17">
        <f t="shared" si="15"/>
        <v>2305.2150728623528</v>
      </c>
      <c r="Q38" s="18">
        <f t="shared" si="16"/>
        <v>2094</v>
      </c>
      <c r="R38" s="6" t="str">
        <f t="shared" si="17"/>
        <v>No</v>
      </c>
      <c r="S38" s="18">
        <f t="shared" si="18"/>
        <v>-15654.493423152933</v>
      </c>
      <c r="U38" s="15">
        <v>30</v>
      </c>
      <c r="V38" s="16">
        <f t="shared" si="6"/>
        <v>1959.6780360096488</v>
      </c>
      <c r="W38" s="16">
        <f t="shared" si="19"/>
        <v>88.709705333770671</v>
      </c>
      <c r="X38" s="17">
        <f t="shared" si="7"/>
        <v>46522.188125167515</v>
      </c>
      <c r="Y38" s="17">
        <f t="shared" si="8"/>
        <v>72922.188125167508</v>
      </c>
      <c r="Z38" s="17">
        <f t="shared" si="20"/>
        <v>2420.0990509335097</v>
      </c>
      <c r="AA38" s="18">
        <f t="shared" si="21"/>
        <v>2700</v>
      </c>
      <c r="AB38" s="6" t="str">
        <f t="shared" si="22"/>
        <v>Yes</v>
      </c>
      <c r="AC38" s="18">
        <f t="shared" si="23"/>
        <v>-11922.188125167508</v>
      </c>
    </row>
    <row r="39" spans="1:29" x14ac:dyDescent="0.2">
      <c r="A39" s="15">
        <v>31</v>
      </c>
      <c r="B39" s="16">
        <f t="shared" si="0"/>
        <v>53552.2155632125</v>
      </c>
      <c r="C39" s="16">
        <f t="shared" si="9"/>
        <v>6438.8294372191012</v>
      </c>
      <c r="D39" s="17">
        <f t="shared" si="1"/>
        <v>942225.96463910583</v>
      </c>
      <c r="E39" s="17">
        <f t="shared" si="2"/>
        <v>969505.96463910583</v>
      </c>
      <c r="F39" s="17">
        <f t="shared" si="10"/>
        <v>112665.23328505375</v>
      </c>
      <c r="G39" s="18">
        <f t="shared" si="11"/>
        <v>8800</v>
      </c>
      <c r="H39" s="6" t="str">
        <f t="shared" si="12"/>
        <v>No</v>
      </c>
      <c r="I39" s="18">
        <f t="shared" si="13"/>
        <v>-716705.96463910583</v>
      </c>
      <c r="K39" s="15">
        <v>31</v>
      </c>
      <c r="L39" s="16">
        <f t="shared" si="3"/>
        <v>1999.5062947597153</v>
      </c>
      <c r="M39" s="16">
        <f t="shared" si="14"/>
        <v>111.69547358610612</v>
      </c>
      <c r="N39" s="17">
        <f t="shared" si="4"/>
        <v>47213.650950689502</v>
      </c>
      <c r="O39" s="17">
        <f t="shared" si="5"/>
        <v>60853.650950689502</v>
      </c>
      <c r="P39" s="17">
        <f t="shared" si="15"/>
        <v>2379.1575275365685</v>
      </c>
      <c r="Q39" s="18">
        <f t="shared" si="16"/>
        <v>2094</v>
      </c>
      <c r="R39" s="6" t="str">
        <f t="shared" si="17"/>
        <v>No</v>
      </c>
      <c r="S39" s="18">
        <f t="shared" si="18"/>
        <v>-15939.650950689502</v>
      </c>
      <c r="U39" s="15">
        <v>31</v>
      </c>
      <c r="V39" s="16">
        <f t="shared" si="6"/>
        <v>2050.3131451750946</v>
      </c>
      <c r="W39" s="16">
        <f t="shared" si="19"/>
        <v>90.635109165445783</v>
      </c>
      <c r="X39" s="17">
        <f t="shared" si="7"/>
        <v>48095.714325956505</v>
      </c>
      <c r="Y39" s="17">
        <f t="shared" si="8"/>
        <v>75375.714325956505</v>
      </c>
      <c r="Z39" s="17">
        <f t="shared" si="20"/>
        <v>2453.5262007889978</v>
      </c>
      <c r="AA39" s="18">
        <f t="shared" si="21"/>
        <v>2700</v>
      </c>
      <c r="AB39" s="6" t="str">
        <f t="shared" si="22"/>
        <v>Yes</v>
      </c>
      <c r="AC39" s="18">
        <f t="shared" si="23"/>
        <v>-11675.714325956505</v>
      </c>
    </row>
    <row r="40" spans="1:29" x14ac:dyDescent="0.2">
      <c r="A40" s="15">
        <v>32</v>
      </c>
      <c r="B40" s="16">
        <f t="shared" ref="B40:B58" si="24">A40*Tomato_HoursPerWeek*SeasonWeeks*(1+Tomato_DimRate)^A40</f>
        <v>60807.677026615485</v>
      </c>
      <c r="C40" s="16">
        <f t="shared" si="9"/>
        <v>7255.4614634029858</v>
      </c>
      <c r="D40" s="17">
        <f t="shared" ref="D40:D58" si="25">MIN(B40,OwnHours)*OwnRate+MAX(B40-OwnHours,0)*TempRate</f>
        <v>1068188.8372676298</v>
      </c>
      <c r="E40" s="17">
        <f t="shared" ref="E40:E58" si="26">D40+A40*Tomato_Fertilizer</f>
        <v>1096348.8372676298</v>
      </c>
      <c r="F40" s="17">
        <f t="shared" si="10"/>
        <v>126842.87262852397</v>
      </c>
      <c r="G40" s="18">
        <f t="shared" si="11"/>
        <v>8800</v>
      </c>
      <c r="H40" s="6" t="str">
        <f t="shared" si="12"/>
        <v>No</v>
      </c>
      <c r="I40" s="18">
        <f t="shared" si="13"/>
        <v>-834748.8372676298</v>
      </c>
      <c r="K40" s="15">
        <v>32</v>
      </c>
      <c r="L40" s="16">
        <f t="shared" ref="L40:L58" si="27">K40*Carrot_HoursPerWeek*SeasonWeeks*(1+Carrot_DimRate)^K40</f>
        <v>2115.6066602618916</v>
      </c>
      <c r="M40" s="16">
        <f t="shared" si="14"/>
        <v>116.10036550217637</v>
      </c>
      <c r="N40" s="17">
        <f t="shared" ref="N40:N58" si="28">MIN(L40,OwnHours)*OwnRate+MAX(L40-OwnHours,0)*TempRate</f>
        <v>49229.282296213394</v>
      </c>
      <c r="O40" s="17">
        <f t="shared" ref="O40:O58" si="29">N40+K40*Carrot_Fertilizer</f>
        <v>63309.282296213394</v>
      </c>
      <c r="P40" s="17">
        <f t="shared" si="15"/>
        <v>2455.6313455238924</v>
      </c>
      <c r="Q40" s="18">
        <f t="shared" si="16"/>
        <v>2094</v>
      </c>
      <c r="R40" s="6" t="str">
        <f t="shared" si="17"/>
        <v>No</v>
      </c>
      <c r="S40" s="18">
        <f t="shared" si="18"/>
        <v>-16301.282296213394</v>
      </c>
      <c r="U40" s="15">
        <v>32</v>
      </c>
      <c r="V40" s="16">
        <f t="shared" ref="V40:V58" si="30">U40*Mesclun_HoursPerWeek*SeasonWeeks*(1+Mesclun_DimRate)^U40</f>
        <v>2142.9079323765509</v>
      </c>
      <c r="W40" s="16">
        <f t="shared" si="19"/>
        <v>92.594787201456256</v>
      </c>
      <c r="X40" s="17">
        <f t="shared" ref="X40:X58" si="31">MIN(V40,OwnHours)*OwnRate+MAX(V40-OwnHours,0)*TempRate</f>
        <v>49703.262714870674</v>
      </c>
      <c r="Y40" s="17">
        <f t="shared" ref="Y40:Y58" si="32">X40+U40*Mesclun_Fertilizer</f>
        <v>77863.262714870682</v>
      </c>
      <c r="Z40" s="17">
        <f t="shared" si="20"/>
        <v>2487.548388914176</v>
      </c>
      <c r="AA40" s="18">
        <f t="shared" si="21"/>
        <v>2700</v>
      </c>
      <c r="AB40" s="6" t="str">
        <f t="shared" si="22"/>
        <v>Yes</v>
      </c>
      <c r="AC40" s="18">
        <f t="shared" si="23"/>
        <v>-11463.262714870682</v>
      </c>
    </row>
    <row r="41" spans="1:29" x14ac:dyDescent="0.2">
      <c r="A41" s="15">
        <v>33</v>
      </c>
      <c r="B41" s="16">
        <f t="shared" si="24"/>
        <v>68978.708627066953</v>
      </c>
      <c r="C41" s="16">
        <f t="shared" ref="C41:C58" si="33">B41-B40</f>
        <v>8171.031600451468</v>
      </c>
      <c r="D41" s="17">
        <f t="shared" si="25"/>
        <v>1210047.0247754678</v>
      </c>
      <c r="E41" s="17">
        <f t="shared" si="26"/>
        <v>1239087.0247754678</v>
      </c>
      <c r="F41" s="17">
        <f t="shared" ref="F41:F58" si="34">E41-E40</f>
        <v>142738.18750783801</v>
      </c>
      <c r="G41" s="18">
        <f t="shared" ref="G41:G58" si="35">Tomato_Revenue</f>
        <v>8800</v>
      </c>
      <c r="H41" s="6" t="str">
        <f t="shared" ref="H41:H58" si="36">IF(F41&lt;=G41,"Yes","No")</f>
        <v>No</v>
      </c>
      <c r="I41" s="18">
        <f t="shared" ref="I41:I58" si="37">A41*Tomato_Revenue-E41-FixedCost</f>
        <v>-968687.02477546781</v>
      </c>
      <c r="K41" s="15">
        <v>33</v>
      </c>
      <c r="L41" s="16">
        <f t="shared" si="27"/>
        <v>2236.2623526049524</v>
      </c>
      <c r="M41" s="16">
        <f t="shared" ref="M41:M58" si="38">L41-L40</f>
        <v>120.65569234306076</v>
      </c>
      <c r="N41" s="17">
        <f t="shared" si="28"/>
        <v>51323.999177169317</v>
      </c>
      <c r="O41" s="17">
        <f t="shared" si="29"/>
        <v>65843.999177169317</v>
      </c>
      <c r="P41" s="17">
        <f t="shared" ref="P41:P58" si="39">O41-O40</f>
        <v>2534.7168809559225</v>
      </c>
      <c r="Q41" s="18">
        <f t="shared" ref="Q41:Q58" si="40">Carrot_Revenue</f>
        <v>2094</v>
      </c>
      <c r="R41" s="6" t="str">
        <f t="shared" ref="R41:R58" si="41">IF(P41&lt;=Q41,"Yes","No")</f>
        <v>No</v>
      </c>
      <c r="S41" s="18">
        <f t="shared" ref="S41:S58" si="42">K41*Carrot_Revenue-O41-FixedCost</f>
        <v>-16741.999177169317</v>
      </c>
      <c r="U41" s="15">
        <v>33</v>
      </c>
      <c r="V41" s="16">
        <f t="shared" si="30"/>
        <v>2237.4972278291093</v>
      </c>
      <c r="W41" s="16">
        <f t="shared" ref="W41:W58" si="43">V41-V40</f>
        <v>94.589295452558417</v>
      </c>
      <c r="X41" s="17">
        <f t="shared" si="31"/>
        <v>51345.437983144257</v>
      </c>
      <c r="Y41" s="17">
        <f t="shared" si="32"/>
        <v>80385.437983144249</v>
      </c>
      <c r="Z41" s="17">
        <f t="shared" ref="Z41:Z58" si="44">Y41-Y40</f>
        <v>2522.1752682735678</v>
      </c>
      <c r="AA41" s="18">
        <f t="shared" ref="AA41:AA58" si="45">Mesclun_Revenue</f>
        <v>2700</v>
      </c>
      <c r="AB41" s="6" t="str">
        <f t="shared" ref="AB41:AB58" si="46">IF(Z41&lt;=AA41,"Yes","No")</f>
        <v>Yes</v>
      </c>
      <c r="AC41" s="18">
        <f t="shared" ref="AC41:AC58" si="47">U41*Mesclun_Revenue-Y41-FixedCost</f>
        <v>-11285.437983144249</v>
      </c>
    </row>
    <row r="42" spans="1:29" x14ac:dyDescent="0.2">
      <c r="A42" s="15">
        <v>34</v>
      </c>
      <c r="B42" s="16">
        <f t="shared" si="24"/>
        <v>78175.869777342552</v>
      </c>
      <c r="C42" s="16">
        <f t="shared" si="33"/>
        <v>9197.1611502755986</v>
      </c>
      <c r="D42" s="17">
        <f t="shared" si="25"/>
        <v>1369719.961412197</v>
      </c>
      <c r="E42" s="17">
        <f t="shared" si="26"/>
        <v>1399639.961412197</v>
      </c>
      <c r="F42" s="17">
        <f t="shared" si="34"/>
        <v>160552.93663672917</v>
      </c>
      <c r="G42" s="18">
        <f t="shared" si="35"/>
        <v>8800</v>
      </c>
      <c r="H42" s="6" t="str">
        <f t="shared" si="36"/>
        <v>No</v>
      </c>
      <c r="I42" s="18">
        <f t="shared" si="37"/>
        <v>-1120439.961412197</v>
      </c>
      <c r="K42" s="15">
        <v>34</v>
      </c>
      <c r="L42" s="16">
        <f t="shared" si="27"/>
        <v>2361.628575402503</v>
      </c>
      <c r="M42" s="16">
        <f t="shared" si="38"/>
        <v>125.36622279755056</v>
      </c>
      <c r="N42" s="17">
        <f t="shared" si="28"/>
        <v>53500.496100737902</v>
      </c>
      <c r="O42" s="17">
        <f t="shared" si="29"/>
        <v>68460.496100737902</v>
      </c>
      <c r="P42" s="17">
        <f t="shared" si="39"/>
        <v>2616.4969235685858</v>
      </c>
      <c r="Q42" s="18">
        <f t="shared" si="40"/>
        <v>2094</v>
      </c>
      <c r="R42" s="6" t="str">
        <f t="shared" si="41"/>
        <v>No</v>
      </c>
      <c r="S42" s="18">
        <f t="shared" si="42"/>
        <v>-17264.496100737902</v>
      </c>
      <c r="U42" s="15">
        <v>34</v>
      </c>
      <c r="V42" s="16">
        <f t="shared" si="30"/>
        <v>2334.116426303548</v>
      </c>
      <c r="W42" s="16">
        <f t="shared" si="43"/>
        <v>96.61919847443869</v>
      </c>
      <c r="X42" s="17">
        <f t="shared" si="31"/>
        <v>53022.854623325489</v>
      </c>
      <c r="Y42" s="17">
        <f t="shared" si="32"/>
        <v>82942.854623325489</v>
      </c>
      <c r="Z42" s="17">
        <f t="shared" si="44"/>
        <v>2557.4166401812399</v>
      </c>
      <c r="AA42" s="18">
        <f t="shared" si="45"/>
        <v>2700</v>
      </c>
      <c r="AB42" s="6" t="str">
        <f t="shared" si="46"/>
        <v>Yes</v>
      </c>
      <c r="AC42" s="18">
        <f t="shared" si="47"/>
        <v>-11142.854623325489</v>
      </c>
    </row>
    <row r="43" spans="1:29" x14ac:dyDescent="0.2">
      <c r="A43" s="15">
        <v>35</v>
      </c>
      <c r="B43" s="16">
        <f t="shared" si="24"/>
        <v>88522.676071402602</v>
      </c>
      <c r="C43" s="16">
        <f t="shared" si="33"/>
        <v>10346.80629406005</v>
      </c>
      <c r="D43" s="17">
        <f t="shared" si="25"/>
        <v>1549352.0151285173</v>
      </c>
      <c r="E43" s="17">
        <f t="shared" si="26"/>
        <v>1580152.0151285173</v>
      </c>
      <c r="F43" s="17">
        <f t="shared" si="34"/>
        <v>180512.05371632031</v>
      </c>
      <c r="G43" s="18">
        <f t="shared" si="35"/>
        <v>8800</v>
      </c>
      <c r="H43" s="6" t="str">
        <f t="shared" si="36"/>
        <v>No</v>
      </c>
      <c r="I43" s="18">
        <f t="shared" si="37"/>
        <v>-1292152.0151285173</v>
      </c>
      <c r="K43" s="15">
        <v>35</v>
      </c>
      <c r="L43" s="16">
        <f t="shared" si="27"/>
        <v>2491.8654453695522</v>
      </c>
      <c r="M43" s="16">
        <f t="shared" si="38"/>
        <v>130.23686996704919</v>
      </c>
      <c r="N43" s="17">
        <f t="shared" si="28"/>
        <v>55761.55287099917</v>
      </c>
      <c r="O43" s="17">
        <f t="shared" si="29"/>
        <v>71161.552870999178</v>
      </c>
      <c r="P43" s="17">
        <f t="shared" si="39"/>
        <v>2701.0567702612752</v>
      </c>
      <c r="Q43" s="18">
        <f t="shared" si="40"/>
        <v>2094</v>
      </c>
      <c r="R43" s="6" t="str">
        <f t="shared" si="41"/>
        <v>No</v>
      </c>
      <c r="S43" s="18">
        <f t="shared" si="42"/>
        <v>-17871.552870999178</v>
      </c>
      <c r="U43" s="15">
        <v>35</v>
      </c>
      <c r="V43" s="16">
        <f t="shared" si="30"/>
        <v>2432.8014957979995</v>
      </c>
      <c r="W43" s="16">
        <f t="shared" si="43"/>
        <v>98.685069494451454</v>
      </c>
      <c r="X43" s="17">
        <f t="shared" si="31"/>
        <v>54736.137079826382</v>
      </c>
      <c r="Y43" s="17">
        <f t="shared" si="32"/>
        <v>85536.137079826382</v>
      </c>
      <c r="Z43" s="17">
        <f t="shared" si="44"/>
        <v>2593.2824565008923</v>
      </c>
      <c r="AA43" s="18">
        <f t="shared" si="45"/>
        <v>2700</v>
      </c>
      <c r="AB43" s="6" t="str">
        <f t="shared" si="46"/>
        <v>Yes</v>
      </c>
      <c r="AC43" s="18">
        <f t="shared" si="47"/>
        <v>-11036.137079826382</v>
      </c>
    </row>
    <row r="44" spans="1:29" x14ac:dyDescent="0.2">
      <c r="A44" s="15">
        <v>36</v>
      </c>
      <c r="B44" s="16">
        <f t="shared" si="24"/>
        <v>100157.08492650122</v>
      </c>
      <c r="C44" s="16">
        <f t="shared" si="33"/>
        <v>11634.40885509862</v>
      </c>
      <c r="D44" s="17">
        <f t="shared" si="25"/>
        <v>1751338.2799739796</v>
      </c>
      <c r="E44" s="17">
        <f t="shared" si="26"/>
        <v>1783018.2799739796</v>
      </c>
      <c r="F44" s="17">
        <f t="shared" si="34"/>
        <v>202866.26484546228</v>
      </c>
      <c r="G44" s="18">
        <f t="shared" si="35"/>
        <v>8800</v>
      </c>
      <c r="H44" s="6" t="str">
        <f t="shared" si="36"/>
        <v>No</v>
      </c>
      <c r="I44" s="18">
        <f t="shared" si="37"/>
        <v>-1486218.2799739796</v>
      </c>
      <c r="K44" s="15">
        <v>36</v>
      </c>
      <c r="L44" s="16">
        <f t="shared" si="27"/>
        <v>2627.138140975328</v>
      </c>
      <c r="M44" s="16">
        <f t="shared" si="38"/>
        <v>135.27269560577588</v>
      </c>
      <c r="N44" s="17">
        <f t="shared" si="28"/>
        <v>58110.037169710558</v>
      </c>
      <c r="O44" s="17">
        <f t="shared" si="29"/>
        <v>73950.037169710558</v>
      </c>
      <c r="P44" s="17">
        <f t="shared" si="39"/>
        <v>2788.4842987113807</v>
      </c>
      <c r="Q44" s="18">
        <f t="shared" si="40"/>
        <v>2094</v>
      </c>
      <c r="R44" s="6" t="str">
        <f t="shared" si="41"/>
        <v>No</v>
      </c>
      <c r="S44" s="18">
        <f t="shared" si="42"/>
        <v>-18566.037169710558</v>
      </c>
      <c r="U44" s="15">
        <v>36</v>
      </c>
      <c r="V44" s="16">
        <f t="shared" si="30"/>
        <v>2533.5889863382022</v>
      </c>
      <c r="W44" s="16">
        <f t="shared" si="43"/>
        <v>100.78749054020273</v>
      </c>
      <c r="X44" s="17">
        <f t="shared" si="31"/>
        <v>56485.919901704896</v>
      </c>
      <c r="Y44" s="17">
        <f t="shared" si="32"/>
        <v>88165.919901704896</v>
      </c>
      <c r="Z44" s="17">
        <f t="shared" si="44"/>
        <v>2629.7828218785144</v>
      </c>
      <c r="AA44" s="18">
        <f t="shared" si="45"/>
        <v>2700</v>
      </c>
      <c r="AB44" s="6" t="str">
        <f t="shared" si="46"/>
        <v>Yes</v>
      </c>
      <c r="AC44" s="18">
        <f t="shared" si="47"/>
        <v>-10965.919901704896</v>
      </c>
    </row>
    <row r="45" spans="1:29" x14ac:dyDescent="0.2">
      <c r="A45" s="15">
        <v>37</v>
      </c>
      <c r="B45" s="16">
        <f t="shared" si="24"/>
        <v>113233.14879190557</v>
      </c>
      <c r="C45" s="16">
        <f t="shared" si="33"/>
        <v>13076.063865404343</v>
      </c>
      <c r="D45" s="17">
        <f t="shared" si="25"/>
        <v>1978353.2776372493</v>
      </c>
      <c r="E45" s="17">
        <f t="shared" si="26"/>
        <v>2010913.2776372493</v>
      </c>
      <c r="F45" s="17">
        <f t="shared" si="34"/>
        <v>227894.99766326975</v>
      </c>
      <c r="G45" s="18">
        <f t="shared" si="35"/>
        <v>8800</v>
      </c>
      <c r="H45" s="6" t="str">
        <f t="shared" si="36"/>
        <v>No</v>
      </c>
      <c r="I45" s="18">
        <f t="shared" si="37"/>
        <v>-1705313.2776372493</v>
      </c>
      <c r="K45" s="15">
        <v>37</v>
      </c>
      <c r="L45" s="16">
        <f t="shared" si="27"/>
        <v>2767.6170554580362</v>
      </c>
      <c r="M45" s="16">
        <f t="shared" si="38"/>
        <v>140.47891448270821</v>
      </c>
      <c r="N45" s="17">
        <f t="shared" si="28"/>
        <v>60548.90721281313</v>
      </c>
      <c r="O45" s="17">
        <f t="shared" si="29"/>
        <v>76828.907212813123</v>
      </c>
      <c r="P45" s="17">
        <f t="shared" si="39"/>
        <v>2878.8700431025645</v>
      </c>
      <c r="Q45" s="18">
        <f t="shared" si="40"/>
        <v>2094</v>
      </c>
      <c r="R45" s="6" t="str">
        <f t="shared" si="41"/>
        <v>No</v>
      </c>
      <c r="S45" s="18">
        <f t="shared" si="42"/>
        <v>-19350.907212813123</v>
      </c>
      <c r="U45" s="15">
        <v>37</v>
      </c>
      <c r="V45" s="16">
        <f t="shared" si="30"/>
        <v>2636.5160389081916</v>
      </c>
      <c r="W45" s="16">
        <f t="shared" si="43"/>
        <v>102.92705256998943</v>
      </c>
      <c r="X45" s="17">
        <f t="shared" si="31"/>
        <v>58272.847897711661</v>
      </c>
      <c r="Y45" s="17">
        <f t="shared" si="32"/>
        <v>90832.847897711661</v>
      </c>
      <c r="Z45" s="17">
        <f t="shared" si="44"/>
        <v>2666.9279960067652</v>
      </c>
      <c r="AA45" s="18">
        <f t="shared" si="45"/>
        <v>2700</v>
      </c>
      <c r="AB45" s="6" t="str">
        <f t="shared" si="46"/>
        <v>Yes</v>
      </c>
      <c r="AC45" s="18">
        <f t="shared" si="47"/>
        <v>-10932.847897711661</v>
      </c>
    </row>
    <row r="46" spans="1:29" x14ac:dyDescent="0.2">
      <c r="A46" s="15">
        <v>38</v>
      </c>
      <c r="B46" s="16">
        <f t="shared" si="24"/>
        <v>127922.85458112576</v>
      </c>
      <c r="C46" s="16">
        <f t="shared" si="33"/>
        <v>14689.705789220199</v>
      </c>
      <c r="D46" s="17">
        <f t="shared" si="25"/>
        <v>2233382.8920334335</v>
      </c>
      <c r="E46" s="17">
        <f t="shared" si="26"/>
        <v>2266822.8920334335</v>
      </c>
      <c r="F46" s="17">
        <f t="shared" si="34"/>
        <v>255909.61439618422</v>
      </c>
      <c r="G46" s="18">
        <f t="shared" si="35"/>
        <v>8800</v>
      </c>
      <c r="H46" s="6" t="str">
        <f t="shared" si="36"/>
        <v>No</v>
      </c>
      <c r="I46" s="18">
        <f t="shared" si="37"/>
        <v>-1952422.8920334335</v>
      </c>
      <c r="K46" s="15">
        <v>38</v>
      </c>
      <c r="L46" s="16">
        <f t="shared" si="27"/>
        <v>2913.47795432677</v>
      </c>
      <c r="M46" s="16">
        <f t="shared" si="38"/>
        <v>145.86089886873378</v>
      </c>
      <c r="N46" s="17">
        <f t="shared" si="28"/>
        <v>63081.214484839758</v>
      </c>
      <c r="O46" s="17">
        <f t="shared" si="29"/>
        <v>79801.214484839758</v>
      </c>
      <c r="P46" s="17">
        <f t="shared" si="39"/>
        <v>2972.3072720266355</v>
      </c>
      <c r="Q46" s="18">
        <f t="shared" si="40"/>
        <v>2094</v>
      </c>
      <c r="R46" s="6" t="str">
        <f t="shared" si="41"/>
        <v>No</v>
      </c>
      <c r="S46" s="18">
        <f t="shared" si="42"/>
        <v>-20229.214484839758</v>
      </c>
      <c r="U46" s="15">
        <v>38</v>
      </c>
      <c r="V46" s="16">
        <f t="shared" si="30"/>
        <v>2741.6203945133157</v>
      </c>
      <c r="W46" s="16">
        <f t="shared" si="43"/>
        <v>105.10435560512406</v>
      </c>
      <c r="X46" s="17">
        <f t="shared" si="31"/>
        <v>60097.576293633952</v>
      </c>
      <c r="Y46" s="17">
        <f t="shared" si="32"/>
        <v>93537.57629363396</v>
      </c>
      <c r="Z46" s="17">
        <f t="shared" si="44"/>
        <v>2704.7283959222987</v>
      </c>
      <c r="AA46" s="18">
        <f t="shared" si="45"/>
        <v>2700</v>
      </c>
      <c r="AB46" s="6" t="str">
        <f t="shared" si="46"/>
        <v>No</v>
      </c>
      <c r="AC46" s="18">
        <f t="shared" si="47"/>
        <v>-10937.57629363396</v>
      </c>
    </row>
    <row r="47" spans="1:29" x14ac:dyDescent="0.2">
      <c r="A47" s="15">
        <v>39</v>
      </c>
      <c r="B47" s="16">
        <f t="shared" si="24"/>
        <v>144418.17004027095</v>
      </c>
      <c r="C47" s="16">
        <f t="shared" si="33"/>
        <v>16495.315459145189</v>
      </c>
      <c r="D47" s="17">
        <f t="shared" si="25"/>
        <v>2519759.896532482</v>
      </c>
      <c r="E47" s="17">
        <f t="shared" si="26"/>
        <v>2554079.896532482</v>
      </c>
      <c r="F47" s="17">
        <f t="shared" si="34"/>
        <v>287257.00449904846</v>
      </c>
      <c r="G47" s="18">
        <f t="shared" si="35"/>
        <v>8800</v>
      </c>
      <c r="H47" s="6" t="str">
        <f t="shared" si="36"/>
        <v>No</v>
      </c>
      <c r="I47" s="18">
        <f t="shared" si="37"/>
        <v>-2230879.896532482</v>
      </c>
      <c r="K47" s="15">
        <v>39</v>
      </c>
      <c r="L47" s="16">
        <f t="shared" si="27"/>
        <v>3064.9021374792801</v>
      </c>
      <c r="M47" s="16">
        <f t="shared" si="38"/>
        <v>151.42418315251007</v>
      </c>
      <c r="N47" s="17">
        <f t="shared" si="28"/>
        <v>65710.106553459715</v>
      </c>
      <c r="O47" s="17">
        <f t="shared" si="29"/>
        <v>82870.106553459715</v>
      </c>
      <c r="P47" s="17">
        <f t="shared" si="39"/>
        <v>3068.8920686199563</v>
      </c>
      <c r="Q47" s="18">
        <f t="shared" si="40"/>
        <v>2094</v>
      </c>
      <c r="R47" s="6" t="str">
        <f t="shared" si="41"/>
        <v>No</v>
      </c>
      <c r="S47" s="18">
        <f t="shared" si="42"/>
        <v>-21204.106553459715</v>
      </c>
      <c r="U47" s="15">
        <v>39</v>
      </c>
      <c r="V47" s="16">
        <f t="shared" si="30"/>
        <v>2848.9404033774877</v>
      </c>
      <c r="W47" s="16">
        <f t="shared" si="43"/>
        <v>107.320008864172</v>
      </c>
      <c r="X47" s="17">
        <f t="shared" si="31"/>
        <v>61960.770891970271</v>
      </c>
      <c r="Y47" s="17">
        <f t="shared" si="32"/>
        <v>96280.770891970271</v>
      </c>
      <c r="Z47" s="17">
        <f t="shared" si="44"/>
        <v>2743.1945983363112</v>
      </c>
      <c r="AA47" s="18">
        <f t="shared" si="45"/>
        <v>2700</v>
      </c>
      <c r="AB47" s="6" t="str">
        <f t="shared" si="46"/>
        <v>No</v>
      </c>
      <c r="AC47" s="18">
        <f t="shared" si="47"/>
        <v>-10980.770891970271</v>
      </c>
    </row>
    <row r="48" spans="1:29" x14ac:dyDescent="0.2">
      <c r="A48" s="15">
        <v>40</v>
      </c>
      <c r="B48" s="16">
        <f t="shared" si="24"/>
        <v>162933.32004543385</v>
      </c>
      <c r="C48" s="16">
        <f t="shared" si="33"/>
        <v>18515.150005162897</v>
      </c>
      <c r="D48" s="17">
        <f t="shared" si="25"/>
        <v>2841203.4730110043</v>
      </c>
      <c r="E48" s="17">
        <f t="shared" si="26"/>
        <v>2876403.4730110043</v>
      </c>
      <c r="F48" s="17">
        <f t="shared" si="34"/>
        <v>322323.57647852227</v>
      </c>
      <c r="G48" s="18">
        <f t="shared" si="35"/>
        <v>8800</v>
      </c>
      <c r="H48" s="6" t="str">
        <f t="shared" si="36"/>
        <v>No</v>
      </c>
      <c r="I48" s="18">
        <f t="shared" si="37"/>
        <v>-2544403.4730110043</v>
      </c>
      <c r="K48" s="15">
        <v>40</v>
      </c>
      <c r="L48" s="16">
        <f t="shared" si="27"/>
        <v>3222.0766060679607</v>
      </c>
      <c r="M48" s="16">
        <f t="shared" si="38"/>
        <v>157.17446858868061</v>
      </c>
      <c r="N48" s="17">
        <f t="shared" si="28"/>
        <v>68438.829966457648</v>
      </c>
      <c r="O48" s="17">
        <f t="shared" si="29"/>
        <v>86038.829966457648</v>
      </c>
      <c r="P48" s="17">
        <f t="shared" si="39"/>
        <v>3168.7234129979333</v>
      </c>
      <c r="Q48" s="18">
        <f t="shared" si="40"/>
        <v>2094</v>
      </c>
      <c r="R48" s="6" t="str">
        <f t="shared" si="41"/>
        <v>No</v>
      </c>
      <c r="S48" s="18">
        <f t="shared" si="42"/>
        <v>-22278.829966457648</v>
      </c>
      <c r="U48" s="15">
        <v>40</v>
      </c>
      <c r="V48" s="16">
        <f t="shared" si="30"/>
        <v>2958.5150342766219</v>
      </c>
      <c r="W48" s="16">
        <f t="shared" si="43"/>
        <v>109.57463089913426</v>
      </c>
      <c r="X48" s="17">
        <f t="shared" si="31"/>
        <v>63863.108233969127</v>
      </c>
      <c r="Y48" s="17">
        <f t="shared" si="32"/>
        <v>99063.108233969135</v>
      </c>
      <c r="Z48" s="17">
        <f t="shared" si="44"/>
        <v>2782.3373419988638</v>
      </c>
      <c r="AA48" s="18">
        <f t="shared" si="45"/>
        <v>2700</v>
      </c>
      <c r="AB48" s="6" t="str">
        <f t="shared" si="46"/>
        <v>No</v>
      </c>
      <c r="AC48" s="18">
        <f t="shared" si="47"/>
        <v>-11063.108233969135</v>
      </c>
    </row>
    <row r="49" spans="1:29" x14ac:dyDescent="0.2">
      <c r="A49" s="15">
        <v>41</v>
      </c>
      <c r="B49" s="16">
        <f t="shared" si="24"/>
        <v>183707.31835122668</v>
      </c>
      <c r="C49" s="16">
        <f t="shared" si="33"/>
        <v>20773.998305792833</v>
      </c>
      <c r="D49" s="17">
        <f t="shared" si="25"/>
        <v>3201863.1658199076</v>
      </c>
      <c r="E49" s="17">
        <f t="shared" si="26"/>
        <v>3237943.1658199076</v>
      </c>
      <c r="F49" s="17">
        <f t="shared" si="34"/>
        <v>361539.69280890329</v>
      </c>
      <c r="G49" s="18">
        <f t="shared" si="35"/>
        <v>8800</v>
      </c>
      <c r="H49" s="6" t="str">
        <f t="shared" si="36"/>
        <v>No</v>
      </c>
      <c r="I49" s="18">
        <f t="shared" si="37"/>
        <v>-2897143.1658199076</v>
      </c>
      <c r="K49" s="15">
        <v>41</v>
      </c>
      <c r="L49" s="16">
        <f t="shared" si="27"/>
        <v>3385.1942342501516</v>
      </c>
      <c r="M49" s="16">
        <f t="shared" si="38"/>
        <v>163.11762818219086</v>
      </c>
      <c r="N49" s="17">
        <f t="shared" si="28"/>
        <v>71270.733233509585</v>
      </c>
      <c r="O49" s="17">
        <f t="shared" si="29"/>
        <v>89310.733233509585</v>
      </c>
      <c r="P49" s="17">
        <f t="shared" si="39"/>
        <v>3271.9032670519373</v>
      </c>
      <c r="Q49" s="18">
        <f t="shared" si="40"/>
        <v>2094</v>
      </c>
      <c r="R49" s="6" t="str">
        <f t="shared" si="41"/>
        <v>No</v>
      </c>
      <c r="S49" s="18">
        <f t="shared" si="42"/>
        <v>-23456.733233509585</v>
      </c>
      <c r="U49" s="15">
        <v>41</v>
      </c>
      <c r="V49" s="16">
        <f t="shared" si="30"/>
        <v>3070.3838840102071</v>
      </c>
      <c r="W49" s="16">
        <f t="shared" si="43"/>
        <v>111.86884973358519</v>
      </c>
      <c r="X49" s="17">
        <f t="shared" si="31"/>
        <v>65805.275764066086</v>
      </c>
      <c r="Y49" s="17">
        <f t="shared" si="32"/>
        <v>101885.27576406609</v>
      </c>
      <c r="Z49" s="17">
        <f t="shared" si="44"/>
        <v>2822.1675300969509</v>
      </c>
      <c r="AA49" s="18">
        <f t="shared" si="45"/>
        <v>2700</v>
      </c>
      <c r="AB49" s="6" t="str">
        <f t="shared" si="46"/>
        <v>No</v>
      </c>
      <c r="AC49" s="18">
        <f t="shared" si="47"/>
        <v>-11185.275764066086</v>
      </c>
    </row>
    <row r="50" spans="1:29" x14ac:dyDescent="0.2">
      <c r="A50" s="15">
        <v>42</v>
      </c>
      <c r="B50" s="16">
        <f t="shared" si="24"/>
        <v>207006.78311772377</v>
      </c>
      <c r="C50" s="16">
        <f t="shared" si="33"/>
        <v>23299.464766497083</v>
      </c>
      <c r="D50" s="17">
        <f t="shared" si="25"/>
        <v>3606367.7624604818</v>
      </c>
      <c r="E50" s="17">
        <f t="shared" si="26"/>
        <v>3643327.7624604818</v>
      </c>
      <c r="F50" s="17">
        <f t="shared" si="34"/>
        <v>405384.59664057428</v>
      </c>
      <c r="G50" s="18">
        <f t="shared" si="35"/>
        <v>8800</v>
      </c>
      <c r="H50" s="6" t="str">
        <f t="shared" si="36"/>
        <v>No</v>
      </c>
      <c r="I50" s="18">
        <f t="shared" si="37"/>
        <v>-3293727.7624604818</v>
      </c>
      <c r="K50" s="15">
        <v>42</v>
      </c>
      <c r="L50" s="16">
        <f t="shared" si="27"/>
        <v>3554.4539459626585</v>
      </c>
      <c r="M50" s="16">
        <f t="shared" si="38"/>
        <v>169.25971171250694</v>
      </c>
      <c r="N50" s="17">
        <f t="shared" si="28"/>
        <v>74209.269895185047</v>
      </c>
      <c r="O50" s="17">
        <f t="shared" si="29"/>
        <v>92689.269895185047</v>
      </c>
      <c r="P50" s="17">
        <f t="shared" si="39"/>
        <v>3378.5366616754618</v>
      </c>
      <c r="Q50" s="18">
        <f t="shared" si="40"/>
        <v>2094</v>
      </c>
      <c r="R50" s="6" t="str">
        <f t="shared" si="41"/>
        <v>No</v>
      </c>
      <c r="S50" s="18">
        <f t="shared" si="42"/>
        <v>-24741.269895185047</v>
      </c>
      <c r="U50" s="15">
        <v>42</v>
      </c>
      <c r="V50" s="16">
        <f t="shared" si="30"/>
        <v>3184.5871870130259</v>
      </c>
      <c r="W50" s="16">
        <f t="shared" si="43"/>
        <v>114.20330300281876</v>
      </c>
      <c r="X50" s="17">
        <f t="shared" si="31"/>
        <v>67787.971996753913</v>
      </c>
      <c r="Y50" s="17">
        <f t="shared" si="32"/>
        <v>104747.97199675391</v>
      </c>
      <c r="Z50" s="17">
        <f t="shared" si="44"/>
        <v>2862.6962326878274</v>
      </c>
      <c r="AA50" s="18">
        <f t="shared" si="45"/>
        <v>2700</v>
      </c>
      <c r="AB50" s="6" t="str">
        <f t="shared" si="46"/>
        <v>No</v>
      </c>
      <c r="AC50" s="18">
        <f t="shared" si="47"/>
        <v>-11347.971996753913</v>
      </c>
    </row>
    <row r="51" spans="1:29" x14ac:dyDescent="0.2">
      <c r="A51" s="15">
        <v>43</v>
      </c>
      <c r="B51" s="16">
        <f t="shared" si="24"/>
        <v>233129.06765400799</v>
      </c>
      <c r="C51" s="16">
        <f t="shared" si="33"/>
        <v>26122.28453628422</v>
      </c>
      <c r="D51" s="17">
        <f t="shared" si="25"/>
        <v>4059879.6467709718</v>
      </c>
      <c r="E51" s="17">
        <f t="shared" si="26"/>
        <v>4097719.6467709718</v>
      </c>
      <c r="F51" s="17">
        <f t="shared" si="34"/>
        <v>454391.88431048999</v>
      </c>
      <c r="G51" s="18">
        <f t="shared" si="35"/>
        <v>8800</v>
      </c>
      <c r="H51" s="6" t="str">
        <f t="shared" si="36"/>
        <v>No</v>
      </c>
      <c r="I51" s="18">
        <f t="shared" si="37"/>
        <v>-3739319.6467709718</v>
      </c>
      <c r="K51" s="15">
        <v>43</v>
      </c>
      <c r="L51" s="16">
        <f t="shared" si="27"/>
        <v>3730.0608968643851</v>
      </c>
      <c r="M51" s="16">
        <f t="shared" si="38"/>
        <v>175.60695090172658</v>
      </c>
      <c r="N51" s="17">
        <f t="shared" si="28"/>
        <v>77258.00168167334</v>
      </c>
      <c r="O51" s="17">
        <f t="shared" si="29"/>
        <v>96178.00168167334</v>
      </c>
      <c r="P51" s="17">
        <f t="shared" si="39"/>
        <v>3488.7317864882934</v>
      </c>
      <c r="Q51" s="18">
        <f t="shared" si="40"/>
        <v>2094</v>
      </c>
      <c r="R51" s="6" t="str">
        <f t="shared" si="41"/>
        <v>No</v>
      </c>
      <c r="S51" s="18">
        <f t="shared" si="42"/>
        <v>-26136.00168167334</v>
      </c>
      <c r="U51" s="15">
        <v>43</v>
      </c>
      <c r="V51" s="16">
        <f t="shared" si="30"/>
        <v>3301.1658251090375</v>
      </c>
      <c r="W51" s="16">
        <f t="shared" si="43"/>
        <v>116.57863809601167</v>
      </c>
      <c r="X51" s="17">
        <f t="shared" si="31"/>
        <v>69811.906685920781</v>
      </c>
      <c r="Y51" s="17">
        <f t="shared" si="32"/>
        <v>107651.90668592078</v>
      </c>
      <c r="Z51" s="17">
        <f t="shared" si="44"/>
        <v>2903.9346891668683</v>
      </c>
      <c r="AA51" s="18">
        <f t="shared" si="45"/>
        <v>2700</v>
      </c>
      <c r="AB51" s="6" t="str">
        <f t="shared" si="46"/>
        <v>No</v>
      </c>
      <c r="AC51" s="18">
        <f t="shared" si="47"/>
        <v>-11551.906685920781</v>
      </c>
    </row>
    <row r="52" spans="1:29" x14ac:dyDescent="0.2">
      <c r="A52" s="15">
        <v>44</v>
      </c>
      <c r="B52" s="16">
        <f t="shared" si="24"/>
        <v>262405.7412663718</v>
      </c>
      <c r="C52" s="16">
        <f t="shared" si="33"/>
        <v>29276.673612363811</v>
      </c>
      <c r="D52" s="17">
        <f t="shared" si="25"/>
        <v>4568155.2303189551</v>
      </c>
      <c r="E52" s="17">
        <f t="shared" si="26"/>
        <v>4606875.2303189551</v>
      </c>
      <c r="F52" s="17">
        <f t="shared" si="34"/>
        <v>509155.58354798332</v>
      </c>
      <c r="G52" s="18">
        <f t="shared" si="35"/>
        <v>8800</v>
      </c>
      <c r="H52" s="6" t="str">
        <f t="shared" si="36"/>
        <v>No</v>
      </c>
      <c r="I52" s="18">
        <f t="shared" si="37"/>
        <v>-4239675.2303189551</v>
      </c>
      <c r="K52" s="15">
        <v>44</v>
      </c>
      <c r="L52" s="16">
        <f t="shared" si="27"/>
        <v>3912.2266615949711</v>
      </c>
      <c r="M52" s="16">
        <f t="shared" si="38"/>
        <v>182.16576473058603</v>
      </c>
      <c r="N52" s="17">
        <f t="shared" si="28"/>
        <v>80420.601763801591</v>
      </c>
      <c r="O52" s="17">
        <f t="shared" si="29"/>
        <v>99780.601763801591</v>
      </c>
      <c r="P52" s="17">
        <f t="shared" si="39"/>
        <v>3602.6000821282505</v>
      </c>
      <c r="Q52" s="18">
        <f t="shared" si="40"/>
        <v>2094</v>
      </c>
      <c r="R52" s="6" t="str">
        <f t="shared" si="41"/>
        <v>No</v>
      </c>
      <c r="S52" s="18">
        <f t="shared" si="42"/>
        <v>-27644.601763801591</v>
      </c>
      <c r="U52" s="15">
        <v>44</v>
      </c>
      <c r="V52" s="16">
        <f t="shared" si="30"/>
        <v>3420.16133740948</v>
      </c>
      <c r="W52" s="16">
        <f t="shared" si="43"/>
        <v>118.99551230044244</v>
      </c>
      <c r="X52" s="17">
        <f t="shared" si="31"/>
        <v>71877.800996692356</v>
      </c>
      <c r="Y52" s="17">
        <f t="shared" si="32"/>
        <v>110597.80099669236</v>
      </c>
      <c r="Z52" s="17">
        <f t="shared" si="44"/>
        <v>2945.894310771575</v>
      </c>
      <c r="AA52" s="18">
        <f t="shared" si="45"/>
        <v>2700</v>
      </c>
      <c r="AB52" s="6" t="str">
        <f t="shared" si="46"/>
        <v>No</v>
      </c>
      <c r="AC52" s="18">
        <f t="shared" si="47"/>
        <v>-11797.800996692356</v>
      </c>
    </row>
    <row r="53" spans="1:29" x14ac:dyDescent="0.2">
      <c r="A53" s="15">
        <v>45</v>
      </c>
      <c r="B53" s="16">
        <f t="shared" si="24"/>
        <v>295206.45892466826</v>
      </c>
      <c r="C53" s="16">
        <f t="shared" si="33"/>
        <v>32800.71765829646</v>
      </c>
      <c r="D53" s="17">
        <f t="shared" si="25"/>
        <v>5137612.1341088237</v>
      </c>
      <c r="E53" s="17">
        <f t="shared" si="26"/>
        <v>5177212.1341088237</v>
      </c>
      <c r="F53" s="17">
        <f t="shared" si="34"/>
        <v>570336.90378986858</v>
      </c>
      <c r="G53" s="18">
        <f t="shared" si="35"/>
        <v>8800</v>
      </c>
      <c r="H53" s="6" t="str">
        <f t="shared" si="36"/>
        <v>No</v>
      </c>
      <c r="I53" s="18">
        <f t="shared" si="37"/>
        <v>-4801212.1341088237</v>
      </c>
      <c r="K53" s="15">
        <v>45</v>
      </c>
      <c r="L53" s="16">
        <f t="shared" si="27"/>
        <v>4101.1694265015458</v>
      </c>
      <c r="M53" s="16">
        <f t="shared" si="38"/>
        <v>188.94276490657467</v>
      </c>
      <c r="N53" s="17">
        <f t="shared" si="28"/>
        <v>83700.858098985162</v>
      </c>
      <c r="O53" s="17">
        <f t="shared" si="29"/>
        <v>103500.85809898516</v>
      </c>
      <c r="P53" s="17">
        <f t="shared" si="39"/>
        <v>3720.2563351835706</v>
      </c>
      <c r="Q53" s="18">
        <f t="shared" si="40"/>
        <v>2094</v>
      </c>
      <c r="R53" s="6" t="str">
        <f t="shared" si="41"/>
        <v>No</v>
      </c>
      <c r="S53" s="18">
        <f t="shared" si="42"/>
        <v>-29270.858098985162</v>
      </c>
      <c r="U53" s="15">
        <v>45</v>
      </c>
      <c r="V53" s="16">
        <f t="shared" si="30"/>
        <v>3541.6159303572595</v>
      </c>
      <c r="W53" s="16">
        <f t="shared" si="43"/>
        <v>121.45459294777947</v>
      </c>
      <c r="X53" s="17">
        <f t="shared" si="31"/>
        <v>73986.387679813532</v>
      </c>
      <c r="Y53" s="17">
        <f t="shared" si="32"/>
        <v>113586.38767981353</v>
      </c>
      <c r="Z53" s="17">
        <f t="shared" si="44"/>
        <v>2988.5866831211752</v>
      </c>
      <c r="AA53" s="18">
        <f t="shared" si="45"/>
        <v>2700</v>
      </c>
      <c r="AB53" s="6" t="str">
        <f t="shared" si="46"/>
        <v>No</v>
      </c>
      <c r="AC53" s="18">
        <f t="shared" si="47"/>
        <v>-12086.387679813532</v>
      </c>
    </row>
    <row r="54" spans="1:29" x14ac:dyDescent="0.2">
      <c r="A54" s="15">
        <v>46</v>
      </c>
      <c r="B54" s="16">
        <f t="shared" si="24"/>
        <v>331943.26270196034</v>
      </c>
      <c r="C54" s="16">
        <f t="shared" si="33"/>
        <v>36736.80377729208</v>
      </c>
      <c r="D54" s="17">
        <f t="shared" si="25"/>
        <v>5775403.8663534783</v>
      </c>
      <c r="E54" s="17">
        <f t="shared" si="26"/>
        <v>5815883.8663534783</v>
      </c>
      <c r="F54" s="17">
        <f t="shared" si="34"/>
        <v>638671.73224465456</v>
      </c>
      <c r="G54" s="18">
        <f t="shared" si="35"/>
        <v>8800</v>
      </c>
      <c r="H54" s="6" t="str">
        <f t="shared" si="36"/>
        <v>No</v>
      </c>
      <c r="I54" s="18">
        <f t="shared" si="37"/>
        <v>-5431083.8663534783</v>
      </c>
      <c r="K54" s="15">
        <v>46</v>
      </c>
      <c r="L54" s="16">
        <f t="shared" si="27"/>
        <v>4297.1141879899524</v>
      </c>
      <c r="M54" s="16">
        <f t="shared" si="38"/>
        <v>195.94476148840658</v>
      </c>
      <c r="N54" s="17">
        <f t="shared" si="28"/>
        <v>87102.676874825556</v>
      </c>
      <c r="O54" s="17">
        <f t="shared" si="29"/>
        <v>107342.67687482556</v>
      </c>
      <c r="P54" s="17">
        <f t="shared" si="39"/>
        <v>3841.8187758403947</v>
      </c>
      <c r="Q54" s="18">
        <f t="shared" si="40"/>
        <v>2094</v>
      </c>
      <c r="R54" s="6" t="str">
        <f t="shared" si="41"/>
        <v>No</v>
      </c>
      <c r="S54" s="18">
        <f t="shared" si="42"/>
        <v>-31018.676874825556</v>
      </c>
      <c r="U54" s="15">
        <v>46</v>
      </c>
      <c r="V54" s="16">
        <f t="shared" si="30"/>
        <v>3665.5724879197642</v>
      </c>
      <c r="W54" s="16">
        <f t="shared" si="43"/>
        <v>123.95655756250471</v>
      </c>
      <c r="X54" s="17">
        <f t="shared" si="31"/>
        <v>76138.411248607008</v>
      </c>
      <c r="Y54" s="17">
        <f t="shared" si="32"/>
        <v>116618.41124860701</v>
      </c>
      <c r="Z54" s="17">
        <f t="shared" si="44"/>
        <v>3032.0235687934764</v>
      </c>
      <c r="AA54" s="18">
        <f t="shared" si="45"/>
        <v>2700</v>
      </c>
      <c r="AB54" s="6" t="str">
        <f t="shared" si="46"/>
        <v>No</v>
      </c>
      <c r="AC54" s="18">
        <f t="shared" si="47"/>
        <v>-12418.411248607008</v>
      </c>
    </row>
    <row r="55" spans="1:29" x14ac:dyDescent="0.2">
      <c r="A55" s="15">
        <v>47</v>
      </c>
      <c r="B55" s="16">
        <f t="shared" si="24"/>
        <v>373075.36264546413</v>
      </c>
      <c r="C55" s="16">
        <f t="shared" si="33"/>
        <v>41132.099943503796</v>
      </c>
      <c r="D55" s="17">
        <f t="shared" si="25"/>
        <v>6489502.823705974</v>
      </c>
      <c r="E55" s="17">
        <f t="shared" si="26"/>
        <v>6530862.823705974</v>
      </c>
      <c r="F55" s="17">
        <f t="shared" si="34"/>
        <v>714978.95735249575</v>
      </c>
      <c r="G55" s="18">
        <f t="shared" si="35"/>
        <v>8800</v>
      </c>
      <c r="H55" s="6" t="str">
        <f t="shared" si="36"/>
        <v>No</v>
      </c>
      <c r="I55" s="18">
        <f t="shared" si="37"/>
        <v>-6137262.823705974</v>
      </c>
      <c r="K55" s="15">
        <v>47</v>
      </c>
      <c r="L55" s="16">
        <f t="shared" si="27"/>
        <v>4500.2929566612183</v>
      </c>
      <c r="M55" s="16">
        <f t="shared" si="38"/>
        <v>203.17876867126597</v>
      </c>
      <c r="N55" s="17">
        <f t="shared" si="28"/>
        <v>90630.086053146151</v>
      </c>
      <c r="O55" s="17">
        <f t="shared" si="29"/>
        <v>111310.08605314615</v>
      </c>
      <c r="P55" s="17">
        <f t="shared" si="39"/>
        <v>3967.4091783205949</v>
      </c>
      <c r="Q55" s="18">
        <f t="shared" si="40"/>
        <v>2094</v>
      </c>
      <c r="R55" s="6" t="str">
        <f t="shared" si="41"/>
        <v>No</v>
      </c>
      <c r="S55" s="18">
        <f t="shared" si="42"/>
        <v>-32892.086053146151</v>
      </c>
      <c r="U55" s="15">
        <v>47</v>
      </c>
      <c r="V55" s="16">
        <f t="shared" si="30"/>
        <v>3792.0745819322115</v>
      </c>
      <c r="W55" s="16">
        <f t="shared" si="43"/>
        <v>126.50209401244729</v>
      </c>
      <c r="X55" s="17">
        <f t="shared" si="31"/>
        <v>78334.62815854534</v>
      </c>
      <c r="Y55" s="17">
        <f t="shared" si="32"/>
        <v>119694.62815854534</v>
      </c>
      <c r="Z55" s="17">
        <f t="shared" si="44"/>
        <v>3076.2169099383318</v>
      </c>
      <c r="AA55" s="18">
        <f t="shared" si="45"/>
        <v>2700</v>
      </c>
      <c r="AB55" s="6" t="str">
        <f t="shared" si="46"/>
        <v>No</v>
      </c>
      <c r="AC55" s="18">
        <f t="shared" si="47"/>
        <v>-12794.62815854534</v>
      </c>
    </row>
    <row r="56" spans="1:29" x14ac:dyDescent="0.2">
      <c r="A56" s="15">
        <v>48</v>
      </c>
      <c r="B56" s="16">
        <f t="shared" si="24"/>
        <v>419114.44995064911</v>
      </c>
      <c r="C56" s="16">
        <f t="shared" si="33"/>
        <v>46039.087305184978</v>
      </c>
      <c r="D56" s="17">
        <f t="shared" si="25"/>
        <v>7288792.533865436</v>
      </c>
      <c r="E56" s="17">
        <f t="shared" si="26"/>
        <v>7331032.533865436</v>
      </c>
      <c r="F56" s="17">
        <f t="shared" si="34"/>
        <v>800169.71015946195</v>
      </c>
      <c r="G56" s="18">
        <f t="shared" si="35"/>
        <v>8800</v>
      </c>
      <c r="H56" s="6" t="str">
        <f t="shared" si="36"/>
        <v>No</v>
      </c>
      <c r="I56" s="18">
        <f t="shared" si="37"/>
        <v>-6928632.533865436</v>
      </c>
      <c r="K56" s="15">
        <v>48</v>
      </c>
      <c r="L56" s="16">
        <f t="shared" si="27"/>
        <v>4710.94496739855</v>
      </c>
      <c r="M56" s="16">
        <f t="shared" si="38"/>
        <v>210.65201073733169</v>
      </c>
      <c r="N56" s="17">
        <f t="shared" si="28"/>
        <v>94287.239017335931</v>
      </c>
      <c r="O56" s="17">
        <f t="shared" si="29"/>
        <v>115407.23901733593</v>
      </c>
      <c r="P56" s="17">
        <f t="shared" si="39"/>
        <v>4097.1529641897796</v>
      </c>
      <c r="Q56" s="18">
        <f t="shared" si="40"/>
        <v>2094</v>
      </c>
      <c r="R56" s="6" t="str">
        <f t="shared" si="41"/>
        <v>No</v>
      </c>
      <c r="S56" s="18">
        <f t="shared" si="42"/>
        <v>-34895.239017335931</v>
      </c>
      <c r="U56" s="15">
        <v>48</v>
      </c>
      <c r="V56" s="16">
        <f t="shared" si="30"/>
        <v>3921.1664825937346</v>
      </c>
      <c r="W56" s="16">
        <f t="shared" si="43"/>
        <v>129.09190066152314</v>
      </c>
      <c r="X56" s="17">
        <f t="shared" si="31"/>
        <v>80575.806989474557</v>
      </c>
      <c r="Y56" s="17">
        <f t="shared" si="32"/>
        <v>122815.80698947456</v>
      </c>
      <c r="Z56" s="17">
        <f t="shared" si="44"/>
        <v>3121.1788309292169</v>
      </c>
      <c r="AA56" s="18">
        <f t="shared" si="45"/>
        <v>2700</v>
      </c>
      <c r="AB56" s="6" t="str">
        <f t="shared" si="46"/>
        <v>No</v>
      </c>
      <c r="AC56" s="18">
        <f t="shared" si="47"/>
        <v>-13215.806989474557</v>
      </c>
    </row>
    <row r="57" spans="1:29" x14ac:dyDescent="0.2">
      <c r="A57" s="15">
        <v>49</v>
      </c>
      <c r="B57" s="16">
        <f t="shared" si="24"/>
        <v>470630.60109041643</v>
      </c>
      <c r="C57" s="16">
        <f t="shared" si="33"/>
        <v>51516.151139767317</v>
      </c>
      <c r="D57" s="17">
        <f t="shared" si="25"/>
        <v>8183170.1578197293</v>
      </c>
      <c r="E57" s="17">
        <f t="shared" si="26"/>
        <v>8226290.1578197293</v>
      </c>
      <c r="F57" s="17">
        <f t="shared" si="34"/>
        <v>895257.62395429332</v>
      </c>
      <c r="G57" s="18">
        <f t="shared" si="35"/>
        <v>8800</v>
      </c>
      <c r="H57" s="6" t="str">
        <f t="shared" si="36"/>
        <v>No</v>
      </c>
      <c r="I57" s="18">
        <f t="shared" si="37"/>
        <v>-7815090.1578197293</v>
      </c>
      <c r="K57" s="15">
        <v>49</v>
      </c>
      <c r="L57" s="16">
        <f t="shared" si="27"/>
        <v>4929.316895574837</v>
      </c>
      <c r="M57" s="16">
        <f t="shared" si="38"/>
        <v>218.37192817628693</v>
      </c>
      <c r="N57" s="17">
        <f t="shared" si="28"/>
        <v>98078.418325952036</v>
      </c>
      <c r="O57" s="17">
        <f t="shared" si="29"/>
        <v>119638.41832595204</v>
      </c>
      <c r="P57" s="17">
        <f t="shared" si="39"/>
        <v>4231.1793086161051</v>
      </c>
      <c r="Q57" s="18">
        <f t="shared" si="40"/>
        <v>2094</v>
      </c>
      <c r="R57" s="6" t="str">
        <f t="shared" si="41"/>
        <v>No</v>
      </c>
      <c r="S57" s="18">
        <f t="shared" si="42"/>
        <v>-37032.418325952036</v>
      </c>
      <c r="U57" s="15">
        <v>49</v>
      </c>
      <c r="V57" s="16">
        <f t="shared" si="30"/>
        <v>4052.8931691183675</v>
      </c>
      <c r="W57" s="16">
        <f t="shared" si="43"/>
        <v>131.7266865246329</v>
      </c>
      <c r="X57" s="17">
        <f t="shared" si="31"/>
        <v>82862.728630527214</v>
      </c>
      <c r="Y57" s="17">
        <f t="shared" si="32"/>
        <v>125982.72863052721</v>
      </c>
      <c r="Z57" s="17">
        <f t="shared" si="44"/>
        <v>3166.9216410526569</v>
      </c>
      <c r="AA57" s="18">
        <f t="shared" si="45"/>
        <v>2700</v>
      </c>
      <c r="AB57" s="6" t="str">
        <f t="shared" si="46"/>
        <v>No</v>
      </c>
      <c r="AC57" s="18">
        <f t="shared" si="47"/>
        <v>-13682.728630527214</v>
      </c>
    </row>
    <row r="58" spans="1:29" x14ac:dyDescent="0.2">
      <c r="A58" s="15">
        <v>50</v>
      </c>
      <c r="B58" s="16">
        <f t="shared" si="24"/>
        <v>528258.83795863076</v>
      </c>
      <c r="C58" s="16">
        <f t="shared" si="33"/>
        <v>57628.236868214328</v>
      </c>
      <c r="D58" s="17">
        <f t="shared" si="25"/>
        <v>9183660.3812262286</v>
      </c>
      <c r="E58" s="17">
        <f t="shared" si="26"/>
        <v>9227660.3812262286</v>
      </c>
      <c r="F58" s="17">
        <f t="shared" si="34"/>
        <v>1001370.2234064993</v>
      </c>
      <c r="G58" s="18">
        <f t="shared" si="35"/>
        <v>8800</v>
      </c>
      <c r="H58" s="6" t="str">
        <f t="shared" si="36"/>
        <v>No</v>
      </c>
      <c r="I58" s="18">
        <f t="shared" si="37"/>
        <v>-8807660.3812262286</v>
      </c>
      <c r="K58" s="15">
        <v>50</v>
      </c>
      <c r="L58" s="16">
        <f t="shared" si="27"/>
        <v>5155.6630795553147</v>
      </c>
      <c r="M58" s="16">
        <f t="shared" si="38"/>
        <v>226.34618398047769</v>
      </c>
      <c r="N58" s="17">
        <f t="shared" si="28"/>
        <v>102008.0395756131</v>
      </c>
      <c r="O58" s="17">
        <f t="shared" si="29"/>
        <v>124008.0395756131</v>
      </c>
      <c r="P58" s="17">
        <f t="shared" si="39"/>
        <v>4369.6212496610678</v>
      </c>
      <c r="Q58" s="18">
        <f t="shared" si="40"/>
        <v>2094</v>
      </c>
      <c r="R58" s="6" t="str">
        <f t="shared" si="41"/>
        <v>No</v>
      </c>
      <c r="S58" s="18">
        <f t="shared" si="42"/>
        <v>-39308.039575613104</v>
      </c>
      <c r="U58" s="15">
        <v>50</v>
      </c>
      <c r="V58" s="16">
        <f t="shared" si="30"/>
        <v>4187.3003405432119</v>
      </c>
      <c r="W58" s="16">
        <f t="shared" si="43"/>
        <v>134.40717142484436</v>
      </c>
      <c r="X58" s="17">
        <f t="shared" si="31"/>
        <v>85196.186467764084</v>
      </c>
      <c r="Y58" s="17">
        <f t="shared" si="32"/>
        <v>129196.18646776408</v>
      </c>
      <c r="Z58" s="17">
        <f t="shared" si="44"/>
        <v>3213.4578372368705</v>
      </c>
      <c r="AA58" s="18">
        <f t="shared" si="45"/>
        <v>2700</v>
      </c>
      <c r="AB58" s="6" t="str">
        <f t="shared" si="46"/>
        <v>No</v>
      </c>
      <c r="AC58" s="18">
        <f t="shared" si="47"/>
        <v>-14196.186467764084</v>
      </c>
    </row>
    <row r="60" spans="1:29" x14ac:dyDescent="0.2">
      <c r="A60" s="4" t="s">
        <v>95</v>
      </c>
    </row>
  </sheetData>
  <conditionalFormatting sqref="A9:I58">
    <cfRule type="expression" dxfId="7" priority="2">
      <formula>$A9=Tomato_Cap</formula>
    </cfRule>
  </conditionalFormatting>
  <conditionalFormatting sqref="H9:H58">
    <cfRule type="expression" dxfId="6" priority="1">
      <formula>H9="Yes"</formula>
    </cfRule>
  </conditionalFormatting>
  <conditionalFormatting sqref="K9:S58">
    <cfRule type="expression" dxfId="5" priority="4">
      <formula>$K9=Carrot_Cap</formula>
    </cfRule>
  </conditionalFormatting>
  <conditionalFormatting sqref="R9:R58">
    <cfRule type="expression" dxfId="4" priority="3">
      <formula>R9="Yes"</formula>
    </cfRule>
  </conditionalFormatting>
  <conditionalFormatting sqref="U9:AC58">
    <cfRule type="expression" dxfId="3" priority="6">
      <formula>$U9=Mesclun_Cap</formula>
    </cfRule>
  </conditionalFormatting>
  <conditionalFormatting sqref="AB9:AB58">
    <cfRule type="expression" dxfId="2" priority="5">
      <formula>AB9="Yes"</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08DB-F330-834C-A15F-ABB031B7A30A}">
  <dimension ref="A1:G33"/>
  <sheetViews>
    <sheetView showGridLines="0" workbookViewId="0"/>
  </sheetViews>
  <sheetFormatPr baseColWidth="10" defaultRowHeight="15" x14ac:dyDescent="0.2"/>
  <cols>
    <col min="1" max="1" width="2.33203125" customWidth="1"/>
    <col min="2" max="2" width="15.83203125" bestFit="1" customWidth="1"/>
    <col min="3" max="3" width="11.83203125" bestFit="1" customWidth="1"/>
    <col min="4" max="4" width="12" bestFit="1" customWidth="1"/>
    <col min="5" max="5" width="12.83203125" bestFit="1" customWidth="1"/>
    <col min="6" max="6" width="10.1640625" bestFit="1" customWidth="1"/>
    <col min="7" max="7" width="12.1640625" bestFit="1" customWidth="1"/>
  </cols>
  <sheetData>
    <row r="1" spans="1:5" x14ac:dyDescent="0.2">
      <c r="A1" s="35" t="s">
        <v>245</v>
      </c>
    </row>
    <row r="2" spans="1:5" x14ac:dyDescent="0.2">
      <c r="A2" s="35" t="s">
        <v>246</v>
      </c>
    </row>
    <row r="3" spans="1:5" x14ac:dyDescent="0.2">
      <c r="A3" s="35" t="s">
        <v>247</v>
      </c>
    </row>
    <row r="4" spans="1:5" x14ac:dyDescent="0.2">
      <c r="A4" s="35" t="s">
        <v>248</v>
      </c>
    </row>
    <row r="5" spans="1:5" x14ac:dyDescent="0.2">
      <c r="A5" s="35" t="s">
        <v>249</v>
      </c>
    </row>
    <row r="6" spans="1:5" x14ac:dyDescent="0.2">
      <c r="A6" s="35"/>
      <c r="B6" t="s">
        <v>250</v>
      </c>
    </row>
    <row r="7" spans="1:5" x14ac:dyDescent="0.2">
      <c r="A7" s="35"/>
      <c r="B7" t="s">
        <v>251</v>
      </c>
    </row>
    <row r="8" spans="1:5" x14ac:dyDescent="0.2">
      <c r="A8" s="35"/>
      <c r="B8" t="s">
        <v>252</v>
      </c>
    </row>
    <row r="9" spans="1:5" x14ac:dyDescent="0.2">
      <c r="A9" s="35" t="s">
        <v>253</v>
      </c>
    </row>
    <row r="10" spans="1:5" x14ac:dyDescent="0.2">
      <c r="B10" t="s">
        <v>254</v>
      </c>
    </row>
    <row r="11" spans="1:5" x14ac:dyDescent="0.2">
      <c r="B11" t="s">
        <v>255</v>
      </c>
    </row>
    <row r="12" spans="1:5" x14ac:dyDescent="0.2">
      <c r="B12" t="s">
        <v>256</v>
      </c>
    </row>
    <row r="14" spans="1:5" ht="16" thickBot="1" x14ac:dyDescent="0.25">
      <c r="A14" t="s">
        <v>257</v>
      </c>
    </row>
    <row r="15" spans="1:5" ht="16" thickBot="1" x14ac:dyDescent="0.25">
      <c r="B15" s="37" t="s">
        <v>258</v>
      </c>
      <c r="C15" s="37" t="s">
        <v>21</v>
      </c>
      <c r="D15" s="37" t="s">
        <v>259</v>
      </c>
      <c r="E15" s="37" t="s">
        <v>260</v>
      </c>
    </row>
    <row r="16" spans="1:5" ht="16" thickBot="1" x14ac:dyDescent="0.25">
      <c r="B16" s="36" t="s">
        <v>267</v>
      </c>
      <c r="C16" s="36" t="s">
        <v>154</v>
      </c>
      <c r="D16" s="39">
        <v>-20000</v>
      </c>
      <c r="E16" s="39">
        <v>42775.155387742132</v>
      </c>
    </row>
    <row r="19" spans="1:7" ht="16" thickBot="1" x14ac:dyDescent="0.25">
      <c r="A19" t="s">
        <v>261</v>
      </c>
    </row>
    <row r="20" spans="1:7" ht="16" thickBot="1" x14ac:dyDescent="0.25">
      <c r="B20" s="37" t="s">
        <v>258</v>
      </c>
      <c r="C20" s="37" t="s">
        <v>21</v>
      </c>
      <c r="D20" s="37" t="s">
        <v>259</v>
      </c>
      <c r="E20" s="37" t="s">
        <v>260</v>
      </c>
      <c r="F20" s="37" t="s">
        <v>262</v>
      </c>
    </row>
    <row r="21" spans="1:7" x14ac:dyDescent="0.2">
      <c r="B21" s="38" t="s">
        <v>268</v>
      </c>
      <c r="C21" s="38" t="s">
        <v>269</v>
      </c>
      <c r="D21" s="40">
        <v>0</v>
      </c>
      <c r="E21" s="40">
        <v>10</v>
      </c>
      <c r="F21" s="38" t="s">
        <v>262</v>
      </c>
    </row>
    <row r="22" spans="1:7" x14ac:dyDescent="0.2">
      <c r="B22" s="38" t="s">
        <v>270</v>
      </c>
      <c r="C22" s="38" t="s">
        <v>271</v>
      </c>
      <c r="D22" s="40">
        <v>0</v>
      </c>
      <c r="E22" s="40">
        <v>20</v>
      </c>
      <c r="F22" s="38" t="s">
        <v>262</v>
      </c>
    </row>
    <row r="23" spans="1:7" ht="16" thickBot="1" x14ac:dyDescent="0.25">
      <c r="B23" s="36" t="s">
        <v>272</v>
      </c>
      <c r="C23" s="36" t="s">
        <v>273</v>
      </c>
      <c r="D23" s="41">
        <v>0</v>
      </c>
      <c r="E23" s="41">
        <v>30</v>
      </c>
      <c r="F23" s="36" t="s">
        <v>262</v>
      </c>
    </row>
    <row r="26" spans="1:7" ht="16" thickBot="1" x14ac:dyDescent="0.25">
      <c r="A26" t="s">
        <v>241</v>
      </c>
    </row>
    <row r="27" spans="1:7" ht="16" thickBot="1" x14ac:dyDescent="0.25">
      <c r="B27" s="37" t="s">
        <v>258</v>
      </c>
      <c r="C27" s="37" t="s">
        <v>21</v>
      </c>
      <c r="D27" s="37" t="s">
        <v>263</v>
      </c>
      <c r="E27" s="37" t="s">
        <v>264</v>
      </c>
      <c r="F27" s="37" t="s">
        <v>265</v>
      </c>
      <c r="G27" s="37" t="s">
        <v>266</v>
      </c>
    </row>
    <row r="28" spans="1:7" x14ac:dyDescent="0.2">
      <c r="B28" s="38" t="s">
        <v>274</v>
      </c>
      <c r="C28" s="38" t="s">
        <v>148</v>
      </c>
      <c r="D28" s="40">
        <v>60</v>
      </c>
      <c r="E28" s="38" t="s">
        <v>275</v>
      </c>
      <c r="F28" s="38" t="s">
        <v>276</v>
      </c>
      <c r="G28" s="38">
        <v>3.9999999999999929</v>
      </c>
    </row>
    <row r="29" spans="1:7" x14ac:dyDescent="0.2">
      <c r="B29" s="38" t="s">
        <v>277</v>
      </c>
      <c r="C29" s="38" t="s">
        <v>129</v>
      </c>
      <c r="D29" s="42">
        <v>4556.8228463282185</v>
      </c>
      <c r="E29" s="38" t="s">
        <v>278</v>
      </c>
      <c r="F29" s="38" t="s">
        <v>276</v>
      </c>
      <c r="G29" s="38">
        <v>1203.1771536717824</v>
      </c>
    </row>
    <row r="30" spans="1:7" x14ac:dyDescent="0.2">
      <c r="B30" s="38" t="s">
        <v>270</v>
      </c>
      <c r="C30" s="38" t="s">
        <v>271</v>
      </c>
      <c r="D30" s="40">
        <v>20</v>
      </c>
      <c r="E30" s="38" t="s">
        <v>279</v>
      </c>
      <c r="F30" s="38" t="s">
        <v>280</v>
      </c>
      <c r="G30" s="38">
        <v>0</v>
      </c>
    </row>
    <row r="31" spans="1:7" x14ac:dyDescent="0.2">
      <c r="B31" s="38" t="s">
        <v>272</v>
      </c>
      <c r="C31" s="38" t="s">
        <v>273</v>
      </c>
      <c r="D31" s="40">
        <v>30</v>
      </c>
      <c r="E31" s="38" t="s">
        <v>281</v>
      </c>
      <c r="F31" s="38" t="s">
        <v>280</v>
      </c>
      <c r="G31" s="38">
        <v>0</v>
      </c>
    </row>
    <row r="32" spans="1:7" x14ac:dyDescent="0.2">
      <c r="B32" s="38" t="s">
        <v>268</v>
      </c>
      <c r="C32" s="38" t="s">
        <v>269</v>
      </c>
      <c r="D32" s="40">
        <v>10</v>
      </c>
      <c r="E32" s="38" t="s">
        <v>282</v>
      </c>
      <c r="F32" s="38" t="s">
        <v>280</v>
      </c>
      <c r="G32" s="38">
        <v>0</v>
      </c>
    </row>
    <row r="33" spans="2:7" ht="16" thickBot="1" x14ac:dyDescent="0.25">
      <c r="B33" s="36" t="s">
        <v>283</v>
      </c>
      <c r="C33" s="36"/>
      <c r="D33" s="36"/>
      <c r="E33" s="36"/>
      <c r="F33" s="36"/>
      <c r="G33"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3B7A-B63F-AE4F-A682-32CF48E7C042}">
  <dimension ref="A1:G33"/>
  <sheetViews>
    <sheetView showGridLines="0" workbookViewId="0"/>
  </sheetViews>
  <sheetFormatPr baseColWidth="10" defaultRowHeight="15" x14ac:dyDescent="0.2"/>
  <cols>
    <col min="1" max="1" width="2.33203125" customWidth="1"/>
    <col min="2" max="2" width="15.83203125" bestFit="1" customWidth="1"/>
    <col min="3" max="3" width="11.83203125" bestFit="1" customWidth="1"/>
    <col min="4" max="4" width="12" bestFit="1" customWidth="1"/>
    <col min="5" max="5" width="12.83203125" bestFit="1" customWidth="1"/>
    <col min="6" max="6" width="10.1640625" bestFit="1" customWidth="1"/>
    <col min="7" max="7" width="12.1640625" bestFit="1" customWidth="1"/>
  </cols>
  <sheetData>
    <row r="1" spans="1:5" x14ac:dyDescent="0.2">
      <c r="A1" s="35" t="s">
        <v>245</v>
      </c>
    </row>
    <row r="2" spans="1:5" x14ac:dyDescent="0.2">
      <c r="A2" s="35" t="s">
        <v>246</v>
      </c>
    </row>
    <row r="3" spans="1:5" x14ac:dyDescent="0.2">
      <c r="A3" s="35" t="s">
        <v>284</v>
      </c>
    </row>
    <row r="4" spans="1:5" x14ac:dyDescent="0.2">
      <c r="A4" s="35" t="s">
        <v>248</v>
      </c>
    </row>
    <row r="5" spans="1:5" x14ac:dyDescent="0.2">
      <c r="A5" s="35" t="s">
        <v>249</v>
      </c>
    </row>
    <row r="6" spans="1:5" x14ac:dyDescent="0.2">
      <c r="A6" s="35"/>
      <c r="B6" t="s">
        <v>250</v>
      </c>
    </row>
    <row r="7" spans="1:5" x14ac:dyDescent="0.2">
      <c r="A7" s="35"/>
      <c r="B7" t="s">
        <v>285</v>
      </c>
    </row>
    <row r="8" spans="1:5" x14ac:dyDescent="0.2">
      <c r="A8" s="35"/>
      <c r="B8" t="s">
        <v>252</v>
      </c>
    </row>
    <row r="9" spans="1:5" x14ac:dyDescent="0.2">
      <c r="A9" s="35" t="s">
        <v>253</v>
      </c>
    </row>
    <row r="10" spans="1:5" x14ac:dyDescent="0.2">
      <c r="B10" t="s">
        <v>254</v>
      </c>
    </row>
    <row r="11" spans="1:5" x14ac:dyDescent="0.2">
      <c r="B11" t="s">
        <v>255</v>
      </c>
    </row>
    <row r="12" spans="1:5" x14ac:dyDescent="0.2">
      <c r="B12" t="s">
        <v>256</v>
      </c>
    </row>
    <row r="14" spans="1:5" ht="16" thickBot="1" x14ac:dyDescent="0.25">
      <c r="A14" t="s">
        <v>257</v>
      </c>
    </row>
    <row r="15" spans="1:5" ht="16" thickBot="1" x14ac:dyDescent="0.25">
      <c r="B15" s="37" t="s">
        <v>258</v>
      </c>
      <c r="C15" s="37" t="s">
        <v>21</v>
      </c>
      <c r="D15" s="37" t="s">
        <v>259</v>
      </c>
      <c r="E15" s="37" t="s">
        <v>260</v>
      </c>
    </row>
    <row r="16" spans="1:5" ht="16" thickBot="1" x14ac:dyDescent="0.25">
      <c r="B16" s="36" t="s">
        <v>267</v>
      </c>
      <c r="C16" s="36" t="s">
        <v>154</v>
      </c>
      <c r="D16" s="39">
        <v>-84320.118416526588</v>
      </c>
      <c r="E16" s="39">
        <v>42775.155387742132</v>
      </c>
    </row>
    <row r="19" spans="1:7" ht="16" thickBot="1" x14ac:dyDescent="0.25">
      <c r="A19" t="s">
        <v>261</v>
      </c>
    </row>
    <row r="20" spans="1:7" ht="16" thickBot="1" x14ac:dyDescent="0.25">
      <c r="B20" s="37" t="s">
        <v>258</v>
      </c>
      <c r="C20" s="37" t="s">
        <v>21</v>
      </c>
      <c r="D20" s="37" t="s">
        <v>259</v>
      </c>
      <c r="E20" s="37" t="s">
        <v>260</v>
      </c>
      <c r="F20" s="37" t="s">
        <v>262</v>
      </c>
    </row>
    <row r="21" spans="1:7" x14ac:dyDescent="0.2">
      <c r="B21" s="38" t="s">
        <v>268</v>
      </c>
      <c r="C21" s="38" t="s">
        <v>269</v>
      </c>
      <c r="D21" s="40">
        <v>20</v>
      </c>
      <c r="E21" s="40">
        <v>10</v>
      </c>
      <c r="F21" s="38" t="s">
        <v>262</v>
      </c>
    </row>
    <row r="22" spans="1:7" x14ac:dyDescent="0.2">
      <c r="B22" s="38" t="s">
        <v>270</v>
      </c>
      <c r="C22" s="38" t="s">
        <v>271</v>
      </c>
      <c r="D22" s="40">
        <v>0</v>
      </c>
      <c r="E22" s="40">
        <v>20</v>
      </c>
      <c r="F22" s="38" t="s">
        <v>262</v>
      </c>
    </row>
    <row r="23" spans="1:7" ht="16" thickBot="1" x14ac:dyDescent="0.25">
      <c r="B23" s="36" t="s">
        <v>272</v>
      </c>
      <c r="C23" s="36" t="s">
        <v>273</v>
      </c>
      <c r="D23" s="41">
        <v>0</v>
      </c>
      <c r="E23" s="41">
        <v>30</v>
      </c>
      <c r="F23" s="36" t="s">
        <v>262</v>
      </c>
    </row>
    <row r="26" spans="1:7" ht="16" thickBot="1" x14ac:dyDescent="0.25">
      <c r="A26" t="s">
        <v>241</v>
      </c>
    </row>
    <row r="27" spans="1:7" ht="16" thickBot="1" x14ac:dyDescent="0.25">
      <c r="B27" s="37" t="s">
        <v>258</v>
      </c>
      <c r="C27" s="37" t="s">
        <v>21</v>
      </c>
      <c r="D27" s="37" t="s">
        <v>263</v>
      </c>
      <c r="E27" s="37" t="s">
        <v>264</v>
      </c>
      <c r="F27" s="37" t="s">
        <v>265</v>
      </c>
      <c r="G27" s="37" t="s">
        <v>266</v>
      </c>
    </row>
    <row r="28" spans="1:7" x14ac:dyDescent="0.2">
      <c r="B28" s="38" t="s">
        <v>274</v>
      </c>
      <c r="C28" s="38" t="s">
        <v>148</v>
      </c>
      <c r="D28" s="40">
        <v>60</v>
      </c>
      <c r="E28" s="38" t="s">
        <v>275</v>
      </c>
      <c r="F28" s="38" t="s">
        <v>276</v>
      </c>
      <c r="G28" s="38">
        <v>4</v>
      </c>
    </row>
    <row r="29" spans="1:7" x14ac:dyDescent="0.2">
      <c r="B29" s="38" t="s">
        <v>277</v>
      </c>
      <c r="C29" s="38" t="s">
        <v>129</v>
      </c>
      <c r="D29" s="42">
        <v>4556.8228463282185</v>
      </c>
      <c r="E29" s="38" t="s">
        <v>278</v>
      </c>
      <c r="F29" s="38" t="s">
        <v>276</v>
      </c>
      <c r="G29" s="38">
        <v>1203.1771536717806</v>
      </c>
    </row>
    <row r="30" spans="1:7" x14ac:dyDescent="0.2">
      <c r="B30" s="38" t="s">
        <v>270</v>
      </c>
      <c r="C30" s="38" t="s">
        <v>271</v>
      </c>
      <c r="D30" s="40">
        <v>20</v>
      </c>
      <c r="E30" s="38" t="s">
        <v>279</v>
      </c>
      <c r="F30" s="38" t="s">
        <v>280</v>
      </c>
      <c r="G30" s="38">
        <v>0</v>
      </c>
    </row>
    <row r="31" spans="1:7" x14ac:dyDescent="0.2">
      <c r="B31" s="38" t="s">
        <v>272</v>
      </c>
      <c r="C31" s="38" t="s">
        <v>273</v>
      </c>
      <c r="D31" s="40">
        <v>30</v>
      </c>
      <c r="E31" s="38" t="s">
        <v>281</v>
      </c>
      <c r="F31" s="38" t="s">
        <v>280</v>
      </c>
      <c r="G31" s="38">
        <v>0</v>
      </c>
    </row>
    <row r="32" spans="1:7" x14ac:dyDescent="0.2">
      <c r="B32" s="38" t="s">
        <v>268</v>
      </c>
      <c r="C32" s="38" t="s">
        <v>269</v>
      </c>
      <c r="D32" s="40">
        <v>10</v>
      </c>
      <c r="E32" s="38" t="s">
        <v>282</v>
      </c>
      <c r="F32" s="38" t="s">
        <v>280</v>
      </c>
      <c r="G32" s="38">
        <v>0</v>
      </c>
    </row>
    <row r="33" spans="2:7" ht="16" thickBot="1" x14ac:dyDescent="0.25">
      <c r="B33" s="36" t="s">
        <v>283</v>
      </c>
      <c r="C33" s="36"/>
      <c r="D33" s="36"/>
      <c r="E33" s="36"/>
      <c r="F33" s="36"/>
      <c r="G33" s="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8B2FB-B402-E849-BF02-BD2313D4968A}">
  <dimension ref="A1:G33"/>
  <sheetViews>
    <sheetView showGridLines="0" workbookViewId="0"/>
  </sheetViews>
  <sheetFormatPr baseColWidth="10" defaultRowHeight="15" x14ac:dyDescent="0.2"/>
  <cols>
    <col min="1" max="1" width="2.33203125" customWidth="1"/>
    <col min="2" max="2" width="15.83203125" bestFit="1" customWidth="1"/>
    <col min="3" max="3" width="11.83203125" bestFit="1" customWidth="1"/>
    <col min="4" max="4" width="12" bestFit="1" customWidth="1"/>
    <col min="5" max="5" width="12.83203125" bestFit="1" customWidth="1"/>
    <col min="6" max="6" width="10.1640625" bestFit="1" customWidth="1"/>
    <col min="7" max="7" width="12.1640625" bestFit="1" customWidth="1"/>
  </cols>
  <sheetData>
    <row r="1" spans="1:5" x14ac:dyDescent="0.2">
      <c r="A1" s="35" t="s">
        <v>245</v>
      </c>
    </row>
    <row r="2" spans="1:5" x14ac:dyDescent="0.2">
      <c r="A2" s="35" t="s">
        <v>246</v>
      </c>
    </row>
    <row r="3" spans="1:5" x14ac:dyDescent="0.2">
      <c r="A3" s="35" t="s">
        <v>320</v>
      </c>
    </row>
    <row r="4" spans="1:5" x14ac:dyDescent="0.2">
      <c r="A4" s="35" t="s">
        <v>248</v>
      </c>
    </row>
    <row r="5" spans="1:5" x14ac:dyDescent="0.2">
      <c r="A5" s="35" t="s">
        <v>249</v>
      </c>
    </row>
    <row r="6" spans="1:5" x14ac:dyDescent="0.2">
      <c r="A6" s="35"/>
      <c r="B6" t="s">
        <v>250</v>
      </c>
    </row>
    <row r="7" spans="1:5" x14ac:dyDescent="0.2">
      <c r="A7" s="35"/>
      <c r="B7" t="s">
        <v>321</v>
      </c>
    </row>
    <row r="8" spans="1:5" x14ac:dyDescent="0.2">
      <c r="A8" s="35"/>
      <c r="B8" t="s">
        <v>252</v>
      </c>
    </row>
    <row r="9" spans="1:5" x14ac:dyDescent="0.2">
      <c r="A9" s="35" t="s">
        <v>253</v>
      </c>
    </row>
    <row r="10" spans="1:5" x14ac:dyDescent="0.2">
      <c r="B10" t="s">
        <v>322</v>
      </c>
    </row>
    <row r="11" spans="1:5" x14ac:dyDescent="0.2">
      <c r="B11" t="s">
        <v>255</v>
      </c>
    </row>
    <row r="12" spans="1:5" x14ac:dyDescent="0.2">
      <c r="B12" t="s">
        <v>323</v>
      </c>
    </row>
    <row r="14" spans="1:5" ht="16" thickBot="1" x14ac:dyDescent="0.25">
      <c r="A14" t="s">
        <v>257</v>
      </c>
    </row>
    <row r="15" spans="1:5" ht="16" thickBot="1" x14ac:dyDescent="0.25">
      <c r="B15" s="44" t="s">
        <v>258</v>
      </c>
      <c r="C15" s="44" t="s">
        <v>21</v>
      </c>
      <c r="D15" s="44" t="s">
        <v>259</v>
      </c>
      <c r="E15" s="44" t="s">
        <v>260</v>
      </c>
    </row>
    <row r="16" spans="1:5" ht="16" thickBot="1" x14ac:dyDescent="0.25">
      <c r="B16" s="43" t="s">
        <v>267</v>
      </c>
      <c r="C16" s="43" t="s">
        <v>154</v>
      </c>
      <c r="D16" s="46">
        <v>-20000</v>
      </c>
      <c r="E16" s="46">
        <v>42761.664682745002</v>
      </c>
    </row>
    <row r="19" spans="1:7" ht="16" thickBot="1" x14ac:dyDescent="0.25">
      <c r="A19" t="s">
        <v>261</v>
      </c>
    </row>
    <row r="20" spans="1:7" ht="16" thickBot="1" x14ac:dyDescent="0.25">
      <c r="B20" s="44" t="s">
        <v>258</v>
      </c>
      <c r="C20" s="44" t="s">
        <v>21</v>
      </c>
      <c r="D20" s="44" t="s">
        <v>259</v>
      </c>
      <c r="E20" s="44" t="s">
        <v>260</v>
      </c>
      <c r="F20" s="44" t="s">
        <v>262</v>
      </c>
    </row>
    <row r="21" spans="1:7" x14ac:dyDescent="0.2">
      <c r="B21" s="45" t="s">
        <v>268</v>
      </c>
      <c r="C21" s="45" t="s">
        <v>269</v>
      </c>
      <c r="D21" s="47">
        <v>0</v>
      </c>
      <c r="E21" s="47">
        <v>10</v>
      </c>
      <c r="F21" s="45" t="s">
        <v>262</v>
      </c>
    </row>
    <row r="22" spans="1:7" x14ac:dyDescent="0.2">
      <c r="B22" s="45" t="s">
        <v>270</v>
      </c>
      <c r="C22" s="45" t="s">
        <v>271</v>
      </c>
      <c r="D22" s="47">
        <v>0</v>
      </c>
      <c r="E22" s="47">
        <v>20</v>
      </c>
      <c r="F22" s="45" t="s">
        <v>262</v>
      </c>
    </row>
    <row r="23" spans="1:7" ht="16" thickBot="1" x14ac:dyDescent="0.25">
      <c r="B23" s="43" t="s">
        <v>272</v>
      </c>
      <c r="C23" s="43" t="s">
        <v>273</v>
      </c>
      <c r="D23" s="48">
        <v>0</v>
      </c>
      <c r="E23" s="48">
        <v>30</v>
      </c>
      <c r="F23" s="43" t="s">
        <v>262</v>
      </c>
    </row>
    <row r="26" spans="1:7" ht="16" thickBot="1" x14ac:dyDescent="0.25">
      <c r="A26" t="s">
        <v>241</v>
      </c>
    </row>
    <row r="27" spans="1:7" ht="16" thickBot="1" x14ac:dyDescent="0.25">
      <c r="B27" s="44" t="s">
        <v>258</v>
      </c>
      <c r="C27" s="44" t="s">
        <v>21</v>
      </c>
      <c r="D27" s="44" t="s">
        <v>263</v>
      </c>
      <c r="E27" s="44" t="s">
        <v>264</v>
      </c>
      <c r="F27" s="44" t="s">
        <v>265</v>
      </c>
      <c r="G27" s="44" t="s">
        <v>266</v>
      </c>
    </row>
    <row r="28" spans="1:7" x14ac:dyDescent="0.2">
      <c r="B28" s="45" t="s">
        <v>274</v>
      </c>
      <c r="C28" s="45" t="s">
        <v>148</v>
      </c>
      <c r="D28" s="47">
        <v>60</v>
      </c>
      <c r="E28" s="45" t="s">
        <v>275</v>
      </c>
      <c r="F28" s="45" t="s">
        <v>276</v>
      </c>
      <c r="G28" s="45">
        <v>4</v>
      </c>
    </row>
    <row r="29" spans="1:7" x14ac:dyDescent="0.2">
      <c r="B29" s="45" t="s">
        <v>277</v>
      </c>
      <c r="C29" s="45" t="s">
        <v>129</v>
      </c>
      <c r="D29" s="49">
        <v>4557.2161142738878</v>
      </c>
      <c r="E29" s="45" t="s">
        <v>278</v>
      </c>
      <c r="F29" s="45" t="s">
        <v>276</v>
      </c>
      <c r="G29" s="45">
        <v>1202.7838857261122</v>
      </c>
    </row>
    <row r="30" spans="1:7" x14ac:dyDescent="0.2">
      <c r="B30" s="45" t="s">
        <v>270</v>
      </c>
      <c r="C30" s="45" t="s">
        <v>271</v>
      </c>
      <c r="D30" s="47">
        <v>20</v>
      </c>
      <c r="E30" s="45" t="s">
        <v>279</v>
      </c>
      <c r="F30" s="45" t="s">
        <v>280</v>
      </c>
      <c r="G30" s="45">
        <v>0</v>
      </c>
    </row>
    <row r="31" spans="1:7" x14ac:dyDescent="0.2">
      <c r="B31" s="45" t="s">
        <v>272</v>
      </c>
      <c r="C31" s="45" t="s">
        <v>273</v>
      </c>
      <c r="D31" s="47">
        <v>30</v>
      </c>
      <c r="E31" s="45" t="s">
        <v>281</v>
      </c>
      <c r="F31" s="45" t="s">
        <v>280</v>
      </c>
      <c r="G31" s="45">
        <v>0</v>
      </c>
    </row>
    <row r="32" spans="1:7" x14ac:dyDescent="0.2">
      <c r="B32" s="45" t="s">
        <v>268</v>
      </c>
      <c r="C32" s="45" t="s">
        <v>269</v>
      </c>
      <c r="D32" s="47">
        <v>10</v>
      </c>
      <c r="E32" s="45" t="s">
        <v>282</v>
      </c>
      <c r="F32" s="45" t="s">
        <v>280</v>
      </c>
      <c r="G32" s="45">
        <v>0</v>
      </c>
    </row>
    <row r="33" spans="2:7" ht="16" thickBot="1" x14ac:dyDescent="0.25">
      <c r="B33" s="43" t="s">
        <v>283</v>
      </c>
      <c r="C33" s="43"/>
      <c r="D33" s="43"/>
      <c r="E33" s="43"/>
      <c r="F33" s="43"/>
      <c r="G33" s="4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7BFD-4348-3A4C-B2B3-CFDBCAA1E4E1}">
  <dimension ref="A1:G33"/>
  <sheetViews>
    <sheetView showGridLines="0" workbookViewId="0"/>
  </sheetViews>
  <sheetFormatPr baseColWidth="10" defaultRowHeight="15" x14ac:dyDescent="0.2"/>
  <cols>
    <col min="1" max="1" width="2.33203125" customWidth="1"/>
    <col min="2" max="2" width="15.83203125" bestFit="1" customWidth="1"/>
    <col min="3" max="3" width="11.83203125" bestFit="1" customWidth="1"/>
    <col min="4" max="4" width="12" bestFit="1" customWidth="1"/>
    <col min="5" max="5" width="12.83203125" bestFit="1" customWidth="1"/>
    <col min="6" max="6" width="10.1640625" bestFit="1" customWidth="1"/>
    <col min="7" max="7" width="12.1640625" bestFit="1" customWidth="1"/>
  </cols>
  <sheetData>
    <row r="1" spans="1:5" x14ac:dyDescent="0.2">
      <c r="A1" s="35" t="s">
        <v>245</v>
      </c>
    </row>
    <row r="2" spans="1:5" x14ac:dyDescent="0.2">
      <c r="A2" s="35" t="s">
        <v>246</v>
      </c>
    </row>
    <row r="3" spans="1:5" x14ac:dyDescent="0.2">
      <c r="A3" s="35" t="s">
        <v>324</v>
      </c>
    </row>
    <row r="4" spans="1:5" x14ac:dyDescent="0.2">
      <c r="A4" s="35" t="s">
        <v>248</v>
      </c>
    </row>
    <row r="5" spans="1:5" x14ac:dyDescent="0.2">
      <c r="A5" s="35" t="s">
        <v>249</v>
      </c>
    </row>
    <row r="6" spans="1:5" x14ac:dyDescent="0.2">
      <c r="A6" s="35"/>
      <c r="B6" t="s">
        <v>250</v>
      </c>
    </row>
    <row r="7" spans="1:5" x14ac:dyDescent="0.2">
      <c r="A7" s="35"/>
      <c r="B7" t="s">
        <v>325</v>
      </c>
    </row>
    <row r="8" spans="1:5" x14ac:dyDescent="0.2">
      <c r="A8" s="35"/>
      <c r="B8" t="s">
        <v>252</v>
      </c>
    </row>
    <row r="9" spans="1:5" x14ac:dyDescent="0.2">
      <c r="A9" s="35" t="s">
        <v>253</v>
      </c>
    </row>
    <row r="10" spans="1:5" x14ac:dyDescent="0.2">
      <c r="B10" t="s">
        <v>254</v>
      </c>
    </row>
    <row r="11" spans="1:5" x14ac:dyDescent="0.2">
      <c r="B11" t="s">
        <v>255</v>
      </c>
    </row>
    <row r="12" spans="1:5" x14ac:dyDescent="0.2">
      <c r="B12" t="s">
        <v>323</v>
      </c>
    </row>
    <row r="14" spans="1:5" ht="16" thickBot="1" x14ac:dyDescent="0.25">
      <c r="A14" t="s">
        <v>257</v>
      </c>
    </row>
    <row r="15" spans="1:5" ht="16" thickBot="1" x14ac:dyDescent="0.25">
      <c r="B15" s="44" t="s">
        <v>258</v>
      </c>
      <c r="C15" s="44" t="s">
        <v>21</v>
      </c>
      <c r="D15" s="44" t="s">
        <v>259</v>
      </c>
      <c r="E15" s="44" t="s">
        <v>260</v>
      </c>
    </row>
    <row r="16" spans="1:5" ht="16" thickBot="1" x14ac:dyDescent="0.25">
      <c r="B16" s="43" t="s">
        <v>267</v>
      </c>
      <c r="C16" s="43" t="s">
        <v>154</v>
      </c>
      <c r="D16" s="46">
        <v>-84334.373416425282</v>
      </c>
      <c r="E16" s="46">
        <v>42761.664682745002</v>
      </c>
    </row>
    <row r="19" spans="1:7" ht="16" thickBot="1" x14ac:dyDescent="0.25">
      <c r="A19" t="s">
        <v>261</v>
      </c>
    </row>
    <row r="20" spans="1:7" ht="16" thickBot="1" x14ac:dyDescent="0.25">
      <c r="B20" s="44" t="s">
        <v>258</v>
      </c>
      <c r="C20" s="44" t="s">
        <v>21</v>
      </c>
      <c r="D20" s="44" t="s">
        <v>259</v>
      </c>
      <c r="E20" s="44" t="s">
        <v>260</v>
      </c>
      <c r="F20" s="44" t="s">
        <v>262</v>
      </c>
    </row>
    <row r="21" spans="1:7" x14ac:dyDescent="0.2">
      <c r="B21" s="45" t="s">
        <v>268</v>
      </c>
      <c r="C21" s="45" t="s">
        <v>269</v>
      </c>
      <c r="D21" s="47">
        <v>20</v>
      </c>
      <c r="E21" s="47">
        <v>10</v>
      </c>
      <c r="F21" s="45" t="s">
        <v>262</v>
      </c>
    </row>
    <row r="22" spans="1:7" x14ac:dyDescent="0.2">
      <c r="B22" s="45" t="s">
        <v>270</v>
      </c>
      <c r="C22" s="45" t="s">
        <v>271</v>
      </c>
      <c r="D22" s="47">
        <v>0</v>
      </c>
      <c r="E22" s="47">
        <v>20</v>
      </c>
      <c r="F22" s="45" t="s">
        <v>262</v>
      </c>
    </row>
    <row r="23" spans="1:7" ht="16" thickBot="1" x14ac:dyDescent="0.25">
      <c r="B23" s="43" t="s">
        <v>272</v>
      </c>
      <c r="C23" s="43" t="s">
        <v>273</v>
      </c>
      <c r="D23" s="48">
        <v>0</v>
      </c>
      <c r="E23" s="48">
        <v>30</v>
      </c>
      <c r="F23" s="43" t="s">
        <v>262</v>
      </c>
    </row>
    <row r="26" spans="1:7" ht="16" thickBot="1" x14ac:dyDescent="0.25">
      <c r="A26" t="s">
        <v>241</v>
      </c>
    </row>
    <row r="27" spans="1:7" ht="16" thickBot="1" x14ac:dyDescent="0.25">
      <c r="B27" s="44" t="s">
        <v>258</v>
      </c>
      <c r="C27" s="44" t="s">
        <v>21</v>
      </c>
      <c r="D27" s="44" t="s">
        <v>263</v>
      </c>
      <c r="E27" s="44" t="s">
        <v>264</v>
      </c>
      <c r="F27" s="44" t="s">
        <v>265</v>
      </c>
      <c r="G27" s="44" t="s">
        <v>266</v>
      </c>
    </row>
    <row r="28" spans="1:7" x14ac:dyDescent="0.2">
      <c r="B28" s="45" t="s">
        <v>274</v>
      </c>
      <c r="C28" s="45" t="s">
        <v>148</v>
      </c>
      <c r="D28" s="47">
        <v>60</v>
      </c>
      <c r="E28" s="45" t="s">
        <v>275</v>
      </c>
      <c r="F28" s="45" t="s">
        <v>276</v>
      </c>
      <c r="G28" s="45">
        <v>4</v>
      </c>
    </row>
    <row r="29" spans="1:7" x14ac:dyDescent="0.2">
      <c r="B29" s="45" t="s">
        <v>277</v>
      </c>
      <c r="C29" s="45" t="s">
        <v>129</v>
      </c>
      <c r="D29" s="49">
        <v>4557.2161142738878</v>
      </c>
      <c r="E29" s="45" t="s">
        <v>278</v>
      </c>
      <c r="F29" s="45" t="s">
        <v>276</v>
      </c>
      <c r="G29" s="45">
        <v>1202.7838857261113</v>
      </c>
    </row>
    <row r="30" spans="1:7" x14ac:dyDescent="0.2">
      <c r="B30" s="45" t="s">
        <v>270</v>
      </c>
      <c r="C30" s="45" t="s">
        <v>271</v>
      </c>
      <c r="D30" s="47">
        <v>20</v>
      </c>
      <c r="E30" s="45" t="s">
        <v>279</v>
      </c>
      <c r="F30" s="45" t="s">
        <v>280</v>
      </c>
      <c r="G30" s="45">
        <v>0</v>
      </c>
    </row>
    <row r="31" spans="1:7" x14ac:dyDescent="0.2">
      <c r="B31" s="45" t="s">
        <v>272</v>
      </c>
      <c r="C31" s="45" t="s">
        <v>273</v>
      </c>
      <c r="D31" s="47">
        <v>30</v>
      </c>
      <c r="E31" s="45" t="s">
        <v>281</v>
      </c>
      <c r="F31" s="45" t="s">
        <v>280</v>
      </c>
      <c r="G31" s="45">
        <v>0</v>
      </c>
    </row>
    <row r="32" spans="1:7" x14ac:dyDescent="0.2">
      <c r="B32" s="45" t="s">
        <v>268</v>
      </c>
      <c r="C32" s="45" t="s">
        <v>269</v>
      </c>
      <c r="D32" s="47">
        <v>10</v>
      </c>
      <c r="E32" s="45" t="s">
        <v>282</v>
      </c>
      <c r="F32" s="45" t="s">
        <v>280</v>
      </c>
      <c r="G32" s="45">
        <v>0</v>
      </c>
    </row>
    <row r="33" spans="2:7" ht="16" thickBot="1" x14ac:dyDescent="0.25">
      <c r="B33" s="43" t="s">
        <v>283</v>
      </c>
      <c r="C33" s="43"/>
      <c r="D33" s="43"/>
      <c r="E33" s="43"/>
      <c r="F33" s="43"/>
      <c r="G33" s="4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53D97-0914-0F48-9943-34C9AF469C74}">
  <dimension ref="A1:G34"/>
  <sheetViews>
    <sheetView showGridLines="0" workbookViewId="0"/>
  </sheetViews>
  <sheetFormatPr baseColWidth="10" defaultRowHeight="15" x14ac:dyDescent="0.2"/>
  <cols>
    <col min="1" max="1" width="2.33203125" customWidth="1"/>
    <col min="2" max="2" width="18" bestFit="1" customWidth="1"/>
    <col min="3" max="3" width="20.5" bestFit="1" customWidth="1"/>
    <col min="4" max="4" width="12" bestFit="1" customWidth="1"/>
    <col min="5" max="5" width="12.83203125" bestFit="1" customWidth="1"/>
    <col min="6" max="6" width="10.1640625" bestFit="1" customWidth="1"/>
    <col min="7" max="7" width="12.1640625" bestFit="1" customWidth="1"/>
  </cols>
  <sheetData>
    <row r="1" spans="1:5" x14ac:dyDescent="0.2">
      <c r="A1" s="35" t="s">
        <v>245</v>
      </c>
    </row>
    <row r="2" spans="1:5" x14ac:dyDescent="0.2">
      <c r="A2" s="35" t="s">
        <v>246</v>
      </c>
    </row>
    <row r="3" spans="1:5" x14ac:dyDescent="0.2">
      <c r="A3" s="35" t="s">
        <v>326</v>
      </c>
    </row>
    <row r="4" spans="1:5" x14ac:dyDescent="0.2">
      <c r="A4" s="35" t="s">
        <v>248</v>
      </c>
    </row>
    <row r="5" spans="1:5" x14ac:dyDescent="0.2">
      <c r="A5" s="35" t="s">
        <v>249</v>
      </c>
    </row>
    <row r="6" spans="1:5" x14ac:dyDescent="0.2">
      <c r="A6" s="35"/>
      <c r="B6" t="s">
        <v>250</v>
      </c>
    </row>
    <row r="7" spans="1:5" x14ac:dyDescent="0.2">
      <c r="A7" s="35"/>
      <c r="B7" t="s">
        <v>327</v>
      </c>
    </row>
    <row r="8" spans="1:5" x14ac:dyDescent="0.2">
      <c r="A8" s="35"/>
      <c r="B8" t="s">
        <v>328</v>
      </c>
    </row>
    <row r="9" spans="1:5" x14ac:dyDescent="0.2">
      <c r="A9" s="35" t="s">
        <v>253</v>
      </c>
    </row>
    <row r="10" spans="1:5" x14ac:dyDescent="0.2">
      <c r="B10" t="s">
        <v>322</v>
      </c>
    </row>
    <row r="11" spans="1:5" x14ac:dyDescent="0.2">
      <c r="B11" t="s">
        <v>255</v>
      </c>
    </row>
    <row r="12" spans="1:5" x14ac:dyDescent="0.2">
      <c r="B12" t="s">
        <v>323</v>
      </c>
    </row>
    <row r="14" spans="1:5" ht="16" thickBot="1" x14ac:dyDescent="0.25">
      <c r="A14" t="s">
        <v>329</v>
      </c>
    </row>
    <row r="15" spans="1:5" ht="16" thickBot="1" x14ac:dyDescent="0.25">
      <c r="B15" s="44" t="s">
        <v>258</v>
      </c>
      <c r="C15" s="44" t="s">
        <v>21</v>
      </c>
      <c r="D15" s="44" t="s">
        <v>259</v>
      </c>
      <c r="E15" s="44" t="s">
        <v>260</v>
      </c>
    </row>
    <row r="16" spans="1:5" ht="16" thickBot="1" x14ac:dyDescent="0.25">
      <c r="B16" s="43" t="s">
        <v>330</v>
      </c>
      <c r="C16" s="43" t="s">
        <v>157</v>
      </c>
      <c r="D16" s="48">
        <v>60</v>
      </c>
      <c r="E16" s="48">
        <v>7</v>
      </c>
    </row>
    <row r="19" spans="1:7" ht="16" thickBot="1" x14ac:dyDescent="0.25">
      <c r="A19" t="s">
        <v>261</v>
      </c>
    </row>
    <row r="20" spans="1:7" ht="16" thickBot="1" x14ac:dyDescent="0.25">
      <c r="B20" s="44" t="s">
        <v>258</v>
      </c>
      <c r="C20" s="44" t="s">
        <v>21</v>
      </c>
      <c r="D20" s="44" t="s">
        <v>259</v>
      </c>
      <c r="E20" s="44" t="s">
        <v>260</v>
      </c>
      <c r="F20" s="44" t="s">
        <v>262</v>
      </c>
    </row>
    <row r="21" spans="1:7" x14ac:dyDescent="0.2">
      <c r="B21" s="45" t="s">
        <v>293</v>
      </c>
      <c r="C21" s="45" t="s">
        <v>331</v>
      </c>
      <c r="D21" s="47">
        <v>10</v>
      </c>
      <c r="E21" s="47">
        <v>7</v>
      </c>
      <c r="F21" s="45" t="s">
        <v>262</v>
      </c>
    </row>
    <row r="22" spans="1:7" x14ac:dyDescent="0.2">
      <c r="B22" s="45" t="s">
        <v>295</v>
      </c>
      <c r="C22" s="45" t="s">
        <v>332</v>
      </c>
      <c r="D22" s="47">
        <v>20</v>
      </c>
      <c r="E22" s="47">
        <v>0</v>
      </c>
      <c r="F22" s="45" t="s">
        <v>262</v>
      </c>
    </row>
    <row r="23" spans="1:7" ht="16" thickBot="1" x14ac:dyDescent="0.25">
      <c r="B23" s="43" t="s">
        <v>333</v>
      </c>
      <c r="C23" s="43" t="s">
        <v>334</v>
      </c>
      <c r="D23" s="48">
        <v>30</v>
      </c>
      <c r="E23" s="48">
        <v>0</v>
      </c>
      <c r="F23" s="43" t="s">
        <v>262</v>
      </c>
    </row>
    <row r="26" spans="1:7" ht="16" thickBot="1" x14ac:dyDescent="0.25">
      <c r="A26" t="s">
        <v>241</v>
      </c>
    </row>
    <row r="27" spans="1:7" ht="16" thickBot="1" x14ac:dyDescent="0.25">
      <c r="B27" s="44" t="s">
        <v>258</v>
      </c>
      <c r="C27" s="44" t="s">
        <v>21</v>
      </c>
      <c r="D27" s="44" t="s">
        <v>263</v>
      </c>
      <c r="E27" s="44" t="s">
        <v>264</v>
      </c>
      <c r="F27" s="44" t="s">
        <v>265</v>
      </c>
      <c r="G27" s="44" t="s">
        <v>266</v>
      </c>
    </row>
    <row r="28" spans="1:7" x14ac:dyDescent="0.2">
      <c r="B28" s="45" t="s">
        <v>297</v>
      </c>
      <c r="C28" s="45" t="s">
        <v>335</v>
      </c>
      <c r="D28" s="47">
        <v>7</v>
      </c>
      <c r="E28" s="45" t="s">
        <v>336</v>
      </c>
      <c r="F28" s="45" t="s">
        <v>276</v>
      </c>
      <c r="G28" s="45">
        <v>57</v>
      </c>
    </row>
    <row r="29" spans="1:7" x14ac:dyDescent="0.2">
      <c r="B29" s="45" t="s">
        <v>337</v>
      </c>
      <c r="C29" s="45" t="s">
        <v>338</v>
      </c>
      <c r="D29" s="50">
        <v>1625.9067187499895</v>
      </c>
      <c r="E29" s="45" t="s">
        <v>339</v>
      </c>
      <c r="F29" s="45" t="s">
        <v>276</v>
      </c>
      <c r="G29" s="50">
        <v>1625.9067187499895</v>
      </c>
    </row>
    <row r="30" spans="1:7" x14ac:dyDescent="0.2">
      <c r="B30" s="45" t="s">
        <v>340</v>
      </c>
      <c r="C30" s="45" t="s">
        <v>341</v>
      </c>
      <c r="D30" s="49">
        <v>507.69177300000069</v>
      </c>
      <c r="E30" s="45" t="s">
        <v>342</v>
      </c>
      <c r="F30" s="45" t="s">
        <v>276</v>
      </c>
      <c r="G30" s="45">
        <v>5252.3082269999995</v>
      </c>
    </row>
    <row r="31" spans="1:7" x14ac:dyDescent="0.2">
      <c r="B31" s="45" t="s">
        <v>295</v>
      </c>
      <c r="C31" s="45" t="s">
        <v>332</v>
      </c>
      <c r="D31" s="47">
        <v>0</v>
      </c>
      <c r="E31" s="45" t="s">
        <v>343</v>
      </c>
      <c r="F31" s="45" t="s">
        <v>276</v>
      </c>
      <c r="G31" s="45">
        <v>20</v>
      </c>
    </row>
    <row r="32" spans="1:7" x14ac:dyDescent="0.2">
      <c r="B32" s="45" t="s">
        <v>333</v>
      </c>
      <c r="C32" s="45" t="s">
        <v>334</v>
      </c>
      <c r="D32" s="47">
        <v>0</v>
      </c>
      <c r="E32" s="45" t="s">
        <v>344</v>
      </c>
      <c r="F32" s="45" t="s">
        <v>276</v>
      </c>
      <c r="G32" s="45">
        <v>30</v>
      </c>
    </row>
    <row r="33" spans="2:7" x14ac:dyDescent="0.2">
      <c r="B33" s="45" t="s">
        <v>293</v>
      </c>
      <c r="C33" s="45" t="s">
        <v>331</v>
      </c>
      <c r="D33" s="47">
        <v>7</v>
      </c>
      <c r="E33" s="45" t="s">
        <v>345</v>
      </c>
      <c r="F33" s="45" t="s">
        <v>276</v>
      </c>
      <c r="G33" s="45">
        <v>13</v>
      </c>
    </row>
    <row r="34" spans="2:7" ht="16" thickBot="1" x14ac:dyDescent="0.25">
      <c r="B34" s="43" t="s">
        <v>346</v>
      </c>
      <c r="C34" s="43"/>
      <c r="D34" s="43"/>
      <c r="E34" s="43"/>
      <c r="F34" s="43"/>
      <c r="G34" s="4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5"/>
  <sheetViews>
    <sheetView topLeftCell="A9" workbookViewId="0">
      <selection activeCell="B34" sqref="B34"/>
    </sheetView>
  </sheetViews>
  <sheetFormatPr baseColWidth="10" defaultColWidth="8.83203125" defaultRowHeight="15" x14ac:dyDescent="0.2"/>
  <cols>
    <col min="1" max="1" width="18" customWidth="1"/>
    <col min="2" max="2" width="14" customWidth="1"/>
    <col min="3" max="3" width="40" customWidth="1"/>
    <col min="4" max="4" width="12" customWidth="1"/>
    <col min="5" max="5" width="14" customWidth="1"/>
    <col min="6" max="6" width="10" customWidth="1"/>
    <col min="7" max="7" width="12" customWidth="1"/>
    <col min="8" max="8" width="3" customWidth="1"/>
    <col min="9" max="9" width="26" customWidth="1"/>
    <col min="10" max="10" width="70" customWidth="1"/>
  </cols>
  <sheetData>
    <row r="1" spans="1:10" ht="18" x14ac:dyDescent="0.2">
      <c r="A1" s="1" t="s">
        <v>96</v>
      </c>
    </row>
    <row r="2" spans="1:10" x14ac:dyDescent="0.2">
      <c r="A2" s="4" t="s">
        <v>97</v>
      </c>
    </row>
    <row r="4" spans="1:10" x14ac:dyDescent="0.2">
      <c r="A4" s="12" t="s">
        <v>98</v>
      </c>
      <c r="I4" s="12" t="s">
        <v>99</v>
      </c>
    </row>
    <row r="5" spans="1:10" x14ac:dyDescent="0.2">
      <c r="A5" s="5" t="s">
        <v>100</v>
      </c>
      <c r="B5" s="5" t="s">
        <v>101</v>
      </c>
      <c r="C5" s="5" t="s">
        <v>102</v>
      </c>
      <c r="D5" s="5" t="s">
        <v>103</v>
      </c>
      <c r="E5" s="5" t="s">
        <v>104</v>
      </c>
      <c r="F5" s="5" t="s">
        <v>105</v>
      </c>
      <c r="G5" s="5" t="s">
        <v>106</v>
      </c>
      <c r="I5" s="13" t="s">
        <v>107</v>
      </c>
      <c r="J5" s="19" t="s">
        <v>108</v>
      </c>
    </row>
    <row r="6" spans="1:10" x14ac:dyDescent="0.2">
      <c r="A6" s="6" t="s">
        <v>109</v>
      </c>
      <c r="B6" s="20">
        <v>10</v>
      </c>
      <c r="C6" s="16">
        <f>Tomato_Beds*Tomato_HoursPerWeek*SeasonWeeks*(1+Tomato_DimRate)^Tomato_Beds</f>
        <v>2334.3682140900019</v>
      </c>
      <c r="D6" s="18">
        <f>Tomato_Beds*Tomato_Revenue</f>
        <v>88000</v>
      </c>
      <c r="E6" s="18">
        <f>Tomato_Beds*Tomato_Fertilizer</f>
        <v>8800</v>
      </c>
      <c r="F6" s="18">
        <f>C6*BlendedRate</f>
        <v>46056.581198400811</v>
      </c>
      <c r="G6" s="18">
        <f>D6-E6-F6</f>
        <v>33143.418801599189</v>
      </c>
      <c r="I6" s="13" t="s">
        <v>110</v>
      </c>
      <c r="J6" s="19" t="s">
        <v>111</v>
      </c>
    </row>
    <row r="7" spans="1:10" x14ac:dyDescent="0.2">
      <c r="A7" s="6" t="s">
        <v>112</v>
      </c>
      <c r="B7" s="20">
        <v>20</v>
      </c>
      <c r="C7" s="16">
        <f>Carrot_Beds*Carrot_HoursPerWeek*SeasonWeeks*(1+Carrot_DimRate)^Carrot_Beds</f>
        <v>983.16986417423732</v>
      </c>
      <c r="D7" s="18">
        <f>Carrot_Beds*Carrot_Revenue</f>
        <v>41880</v>
      </c>
      <c r="E7" s="18">
        <f>Carrot_Beds*Carrot_Fertilizer</f>
        <v>8800</v>
      </c>
      <c r="F7" s="18">
        <f>C7*BlendedRate</f>
        <v>19397.7292904553</v>
      </c>
      <c r="G7" s="18">
        <f>D7-E7-F7</f>
        <v>13682.2707095447</v>
      </c>
      <c r="I7" s="13" t="s">
        <v>113</v>
      </c>
      <c r="J7" s="19" t="s">
        <v>114</v>
      </c>
    </row>
    <row r="8" spans="1:10" x14ac:dyDescent="0.2">
      <c r="A8" s="6" t="s">
        <v>115</v>
      </c>
      <c r="B8" s="20">
        <v>30</v>
      </c>
      <c r="C8" s="16">
        <f>Mesclun_Beds*Mesclun_HoursPerWeek*SeasonWeeks*(1+Mesclun_DimRate)^Mesclun_Beds</f>
        <v>1959.6780360096488</v>
      </c>
      <c r="D8" s="18">
        <f>Mesclun_Beds*Mesclun_Revenue</f>
        <v>81000</v>
      </c>
      <c r="E8" s="18">
        <f>Mesclun_Beds*Mesclun_Fertilizer</f>
        <v>26400</v>
      </c>
      <c r="F8" s="18">
        <f>C8*BlendedRate</f>
        <v>38664.024828398891</v>
      </c>
      <c r="G8" s="18">
        <f>D8-E8-F8</f>
        <v>15935.975171601109</v>
      </c>
      <c r="I8" s="13" t="s">
        <v>116</v>
      </c>
      <c r="J8" s="19" t="s">
        <v>117</v>
      </c>
    </row>
    <row r="9" spans="1:10" x14ac:dyDescent="0.2">
      <c r="A9" s="21" t="s">
        <v>118</v>
      </c>
      <c r="B9" s="22">
        <f t="shared" ref="B9:G9" si="0">SUM(B6:B8)</f>
        <v>60</v>
      </c>
      <c r="C9" s="23">
        <f t="shared" si="0"/>
        <v>5277.2161142738878</v>
      </c>
      <c r="D9" s="24">
        <f t="shared" si="0"/>
        <v>210880</v>
      </c>
      <c r="E9" s="24">
        <f t="shared" si="0"/>
        <v>44000</v>
      </c>
      <c r="F9" s="24">
        <f t="shared" si="0"/>
        <v>104118.335317255</v>
      </c>
      <c r="G9" s="24">
        <f t="shared" si="0"/>
        <v>62761.664682745002</v>
      </c>
      <c r="I9" s="13" t="s">
        <v>116</v>
      </c>
      <c r="J9" s="19" t="s">
        <v>119</v>
      </c>
    </row>
    <row r="10" spans="1:10" x14ac:dyDescent="0.2">
      <c r="I10" s="13" t="s">
        <v>116</v>
      </c>
      <c r="J10" s="19" t="s">
        <v>120</v>
      </c>
    </row>
    <row r="11" spans="1:10" x14ac:dyDescent="0.2">
      <c r="A11" s="6" t="s">
        <v>121</v>
      </c>
      <c r="B11" s="16">
        <f>SUM(C6:C8)</f>
        <v>5277.2161142738878</v>
      </c>
      <c r="C11" s="4" t="s">
        <v>122</v>
      </c>
      <c r="E11" s="12" t="s">
        <v>123</v>
      </c>
      <c r="I11" s="13" t="s">
        <v>116</v>
      </c>
      <c r="J11" s="19" t="s">
        <v>124</v>
      </c>
    </row>
    <row r="12" spans="1:10" x14ac:dyDescent="0.2">
      <c r="A12" s="6" t="s">
        <v>125</v>
      </c>
      <c r="B12" s="16">
        <f>MIN(TotalHours,OwnHours)</f>
        <v>720</v>
      </c>
      <c r="C12" s="4" t="s">
        <v>126</v>
      </c>
      <c r="E12" s="4" t="s">
        <v>127</v>
      </c>
      <c r="I12" s="13" t="s">
        <v>116</v>
      </c>
      <c r="J12" s="19" t="s">
        <v>128</v>
      </c>
    </row>
    <row r="13" spans="1:10" x14ac:dyDescent="0.2">
      <c r="A13" s="6" t="s">
        <v>129</v>
      </c>
      <c r="B13" s="16">
        <f>TotalHours-OwnHoursUsed</f>
        <v>4557.2161142738878</v>
      </c>
      <c r="C13" s="4" t="s">
        <v>130</v>
      </c>
      <c r="E13" s="6" t="s">
        <v>131</v>
      </c>
      <c r="F13" s="15">
        <f>Tomato_Cap</f>
        <v>20</v>
      </c>
      <c r="I13" s="13" t="s">
        <v>116</v>
      </c>
      <c r="J13" s="19" t="s">
        <v>132</v>
      </c>
    </row>
    <row r="14" spans="1:10" x14ac:dyDescent="0.2">
      <c r="A14" s="6" t="s">
        <v>133</v>
      </c>
      <c r="B14" s="16">
        <f>MaxTemps*TempHoursEach</f>
        <v>5760</v>
      </c>
      <c r="C14" s="4" t="s">
        <v>134</v>
      </c>
      <c r="E14" s="6" t="s">
        <v>135</v>
      </c>
      <c r="F14" s="15">
        <f>Carrot_Cap</f>
        <v>20</v>
      </c>
      <c r="I14" s="13" t="s">
        <v>136</v>
      </c>
      <c r="J14" s="19" t="s">
        <v>137</v>
      </c>
    </row>
    <row r="15" spans="1:10" x14ac:dyDescent="0.2">
      <c r="A15" s="6" t="s">
        <v>138</v>
      </c>
      <c r="B15" s="18">
        <f>OwnHoursUsed*OwnRate+TempHours*TempRate</f>
        <v>104118.335317255</v>
      </c>
      <c r="C15" s="4" t="s">
        <v>139</v>
      </c>
      <c r="E15" s="6" t="s">
        <v>140</v>
      </c>
      <c r="F15" s="15">
        <f>Mesclun_Cap</f>
        <v>30</v>
      </c>
      <c r="I15" s="13" t="s">
        <v>141</v>
      </c>
      <c r="J15" s="19" t="s">
        <v>142</v>
      </c>
    </row>
    <row r="16" spans="1:10" x14ac:dyDescent="0.2">
      <c r="A16" s="6" t="s">
        <v>143</v>
      </c>
      <c r="B16" s="17">
        <f>IF(TotalHours=0,0,LaborCost/TotalHours)</f>
        <v>19.729784239010844</v>
      </c>
      <c r="C16" s="4" t="s">
        <v>144</v>
      </c>
      <c r="E16" s="6" t="s">
        <v>145</v>
      </c>
      <c r="F16" s="15">
        <f>TotalBeds</f>
        <v>64</v>
      </c>
      <c r="I16" s="13" t="s">
        <v>146</v>
      </c>
      <c r="J16" s="19" t="s">
        <v>147</v>
      </c>
    </row>
    <row r="17" spans="1:10" x14ac:dyDescent="0.2">
      <c r="A17" s="6" t="s">
        <v>148</v>
      </c>
      <c r="B17" s="25">
        <f>SUM(B6:B8)</f>
        <v>60</v>
      </c>
      <c r="C17" s="4" t="s">
        <v>149</v>
      </c>
      <c r="I17" s="13" t="s">
        <v>150</v>
      </c>
      <c r="J17" s="19" t="s">
        <v>151</v>
      </c>
    </row>
    <row r="18" spans="1:10" x14ac:dyDescent="0.2">
      <c r="A18" s="6" t="s">
        <v>152</v>
      </c>
      <c r="B18" s="25">
        <f>TotalBeds-BedsPlanted</f>
        <v>4</v>
      </c>
      <c r="C18" s="4" t="s">
        <v>153</v>
      </c>
    </row>
    <row r="19" spans="1:10" x14ac:dyDescent="0.2">
      <c r="A19" s="6" t="s">
        <v>154</v>
      </c>
      <c r="B19" s="26">
        <f>SUM(G6:G8)-FixedCost</f>
        <v>42761.664682745002</v>
      </c>
      <c r="C19" s="4" t="s">
        <v>155</v>
      </c>
      <c r="I19" s="12" t="s">
        <v>156</v>
      </c>
    </row>
    <row r="20" spans="1:10" x14ac:dyDescent="0.2">
      <c r="I20" s="13" t="s">
        <v>107</v>
      </c>
      <c r="J20" s="19" t="s">
        <v>157</v>
      </c>
    </row>
    <row r="21" spans="1:10" x14ac:dyDescent="0.2">
      <c r="A21" s="12" t="s">
        <v>158</v>
      </c>
      <c r="I21" s="13" t="s">
        <v>110</v>
      </c>
      <c r="J21" s="19" t="s">
        <v>159</v>
      </c>
    </row>
    <row r="22" spans="1:10" x14ac:dyDescent="0.2">
      <c r="A22" s="5" t="s">
        <v>160</v>
      </c>
      <c r="B22" s="5" t="s">
        <v>161</v>
      </c>
      <c r="C22" s="5" t="s">
        <v>162</v>
      </c>
      <c r="I22" s="13" t="s">
        <v>113</v>
      </c>
      <c r="J22" s="19" t="s">
        <v>163</v>
      </c>
    </row>
    <row r="23" spans="1:10" x14ac:dyDescent="0.2">
      <c r="A23" s="6" t="s">
        <v>164</v>
      </c>
      <c r="B23" s="18">
        <f>LaborCost</f>
        <v>104118.335317255</v>
      </c>
      <c r="C23" s="27">
        <f>IF($B$26=0,0,B23/$B$26)</f>
        <v>0.61931576422508572</v>
      </c>
      <c r="I23" s="13" t="s">
        <v>116</v>
      </c>
      <c r="J23" s="19" t="s">
        <v>165</v>
      </c>
    </row>
    <row r="24" spans="1:10" x14ac:dyDescent="0.2">
      <c r="A24" s="6" t="s">
        <v>104</v>
      </c>
      <c r="B24" s="18">
        <f>SUM(E6:E8)</f>
        <v>44000</v>
      </c>
      <c r="C24" s="27">
        <f>IF($B$26=0,0,B24/$B$26)</f>
        <v>0.26172041209525354</v>
      </c>
      <c r="I24" s="13" t="s">
        <v>116</v>
      </c>
      <c r="J24" s="19" t="s">
        <v>166</v>
      </c>
    </row>
    <row r="25" spans="1:10" x14ac:dyDescent="0.2">
      <c r="A25" s="6" t="s">
        <v>167</v>
      </c>
      <c r="B25" s="18">
        <f>FixedCost</f>
        <v>20000</v>
      </c>
      <c r="C25" s="27">
        <f>IF($B$26=0,0,B25/$B$26)</f>
        <v>0.11896382367966071</v>
      </c>
      <c r="I25" s="13" t="s">
        <v>116</v>
      </c>
      <c r="J25" s="19" t="s">
        <v>168</v>
      </c>
    </row>
    <row r="26" spans="1:10" x14ac:dyDescent="0.2">
      <c r="A26" s="21" t="s">
        <v>169</v>
      </c>
      <c r="B26" s="24">
        <f>SUM(B23:B25)</f>
        <v>168118.335317255</v>
      </c>
      <c r="C26" s="28">
        <f>SUM(C23:C25)</f>
        <v>1</v>
      </c>
      <c r="I26" s="13" t="s">
        <v>116</v>
      </c>
      <c r="J26" s="19" t="s">
        <v>170</v>
      </c>
    </row>
    <row r="27" spans="1:10" x14ac:dyDescent="0.2">
      <c r="I27" s="13" t="s">
        <v>116</v>
      </c>
      <c r="J27" s="19" t="s">
        <v>171</v>
      </c>
    </row>
    <row r="28" spans="1:10" x14ac:dyDescent="0.2">
      <c r="I28" s="13" t="s">
        <v>136</v>
      </c>
      <c r="J28" s="19" t="s">
        <v>172</v>
      </c>
    </row>
    <row r="29" spans="1:10" x14ac:dyDescent="0.2">
      <c r="A29" s="12" t="s">
        <v>173</v>
      </c>
      <c r="I29" s="13" t="s">
        <v>141</v>
      </c>
      <c r="J29" s="19" t="s">
        <v>174</v>
      </c>
    </row>
    <row r="30" spans="1:10" x14ac:dyDescent="0.2">
      <c r="A30" s="5" t="s">
        <v>100</v>
      </c>
      <c r="B30" s="5" t="s">
        <v>101</v>
      </c>
      <c r="C30" s="5" t="s">
        <v>102</v>
      </c>
      <c r="D30" s="5" t="s">
        <v>103</v>
      </c>
      <c r="E30" s="5" t="s">
        <v>104</v>
      </c>
      <c r="F30" s="5" t="s">
        <v>105</v>
      </c>
      <c r="G30" s="5" t="s">
        <v>106</v>
      </c>
    </row>
    <row r="31" spans="1:10" x14ac:dyDescent="0.2">
      <c r="A31" s="6" t="s">
        <v>109</v>
      </c>
      <c r="B31" s="20">
        <v>7</v>
      </c>
      <c r="C31" s="16">
        <f>BreakEven_Tomato_Beds*Tomato_HoursPerWeek*SeasonWeeks*(1+Tomato_DimRate)^BreakEven_Tomato_Beds</f>
        <v>1227.6917730000007</v>
      </c>
      <c r="D31" s="18">
        <f>BreakEven_Tomato_Beds*Tomato_Revenue</f>
        <v>61600</v>
      </c>
      <c r="E31" s="18">
        <f>BreakEven_Tomato_Beds*Tomato_Fertilizer</f>
        <v>6160</v>
      </c>
      <c r="F31" s="18">
        <f>C31*BreakEven_BlendedRate</f>
        <v>33814.09328125001</v>
      </c>
      <c r="G31" s="18">
        <f>D31-E31-F31</f>
        <v>21625.90671874999</v>
      </c>
    </row>
    <row r="32" spans="1:10" x14ac:dyDescent="0.2">
      <c r="A32" s="6" t="s">
        <v>112</v>
      </c>
      <c r="B32" s="20">
        <v>0</v>
      </c>
      <c r="C32" s="16">
        <f>BreakEven_Carrot_Beds*Carrot_HoursPerWeek*SeasonWeeks*(1+Carrot_DimRate)^BreakEven_Carrot_Beds</f>
        <v>0</v>
      </c>
      <c r="D32" s="18">
        <f>BreakEven_Carrot_Beds*Carrot_Revenue</f>
        <v>0</v>
      </c>
      <c r="E32" s="18">
        <f>BreakEven_Carrot_Beds*Carrot_Fertilizer</f>
        <v>0</v>
      </c>
      <c r="F32" s="18">
        <f>C32*BreakEven_BlendedRate</f>
        <v>0</v>
      </c>
      <c r="G32" s="18">
        <f>D32-E32-F32</f>
        <v>0</v>
      </c>
    </row>
    <row r="33" spans="1:7" x14ac:dyDescent="0.2">
      <c r="A33" s="6" t="s">
        <v>115</v>
      </c>
      <c r="B33" s="20">
        <v>0</v>
      </c>
      <c r="C33" s="16">
        <f>BreakEven_Mesclun_Beds*Mesclun_HoursPerWeek*SeasonWeeks*(1+Mesclun_DimRate)^BreakEven_Mesclun_Beds</f>
        <v>0</v>
      </c>
      <c r="D33" s="18">
        <f>BreakEven_Mesclun_Beds*Mesclun_Revenue</f>
        <v>0</v>
      </c>
      <c r="E33" s="18">
        <f>BreakEven_Mesclun_Beds*Mesclun_Fertilizer</f>
        <v>0</v>
      </c>
      <c r="F33" s="18">
        <f>C33*BreakEven_BlendedRate</f>
        <v>0</v>
      </c>
      <c r="G33" s="18">
        <f>D33-E33-F33</f>
        <v>0</v>
      </c>
    </row>
    <row r="34" spans="1:7" x14ac:dyDescent="0.2">
      <c r="A34" s="21" t="s">
        <v>118</v>
      </c>
      <c r="B34" s="22">
        <f t="shared" ref="B34:G34" si="1">SUM(B31:B33)</f>
        <v>7</v>
      </c>
      <c r="C34" s="23">
        <f t="shared" si="1"/>
        <v>1227.6917730000007</v>
      </c>
      <c r="D34" s="24">
        <f t="shared" si="1"/>
        <v>61600</v>
      </c>
      <c r="E34" s="24">
        <f t="shared" si="1"/>
        <v>6160</v>
      </c>
      <c r="F34" s="24">
        <f t="shared" si="1"/>
        <v>33814.09328125001</v>
      </c>
      <c r="G34" s="24">
        <f t="shared" si="1"/>
        <v>21625.90671874999</v>
      </c>
    </row>
    <row r="36" spans="1:7" x14ac:dyDescent="0.2">
      <c r="A36" s="6" t="s">
        <v>121</v>
      </c>
      <c r="B36" s="16">
        <f>SUM(C31:C33)</f>
        <v>1227.6917730000007</v>
      </c>
      <c r="C36" s="4" t="s">
        <v>122</v>
      </c>
    </row>
    <row r="37" spans="1:7" x14ac:dyDescent="0.2">
      <c r="A37" s="6" t="s">
        <v>125</v>
      </c>
      <c r="B37" s="16">
        <f>MIN(BreakEven_TotalHours,OwnHours)</f>
        <v>720</v>
      </c>
      <c r="C37" s="4" t="s">
        <v>126</v>
      </c>
    </row>
    <row r="38" spans="1:7" x14ac:dyDescent="0.2">
      <c r="A38" s="6" t="s">
        <v>129</v>
      </c>
      <c r="B38" s="16">
        <f>BreakEven_TotalHours-BreakEven_OwnHoursUsed</f>
        <v>507.69177300000069</v>
      </c>
      <c r="C38" s="4" t="s">
        <v>130</v>
      </c>
    </row>
    <row r="39" spans="1:7" x14ac:dyDescent="0.2">
      <c r="A39" s="6" t="s">
        <v>133</v>
      </c>
      <c r="B39" s="16">
        <f>MaxTemps*TempHoursEach</f>
        <v>5760</v>
      </c>
      <c r="C39" s="4" t="s">
        <v>134</v>
      </c>
    </row>
    <row r="40" spans="1:7" x14ac:dyDescent="0.2">
      <c r="A40" s="6" t="s">
        <v>138</v>
      </c>
      <c r="B40" s="18">
        <f>BreakEven_OwnHoursUsed*OwnRate+BreakEven_TempHours*TempRate</f>
        <v>33814.09328125001</v>
      </c>
      <c r="C40" s="4" t="s">
        <v>139</v>
      </c>
    </row>
    <row r="41" spans="1:7" x14ac:dyDescent="0.2">
      <c r="A41" s="6" t="s">
        <v>143</v>
      </c>
      <c r="B41" s="17">
        <f>IF(BreakEven_TotalHours=0,0,BreakEven_LaborCost/BreakEven_TotalHours)</f>
        <v>27.542819806164811</v>
      </c>
      <c r="C41" s="4" t="s">
        <v>144</v>
      </c>
    </row>
    <row r="42" spans="1:7" x14ac:dyDescent="0.2">
      <c r="A42" s="6" t="s">
        <v>148</v>
      </c>
      <c r="B42" s="25">
        <f>SUM(B31:B33)</f>
        <v>7</v>
      </c>
      <c r="C42" s="4" t="s">
        <v>149</v>
      </c>
    </row>
    <row r="43" spans="1:7" x14ac:dyDescent="0.2">
      <c r="A43" s="6" t="s">
        <v>152</v>
      </c>
      <c r="B43" s="25">
        <f>TotalBeds-BreakEven_BedsPlanted</f>
        <v>57</v>
      </c>
      <c r="C43" s="4" t="s">
        <v>153</v>
      </c>
    </row>
    <row r="44" spans="1:7" x14ac:dyDescent="0.2">
      <c r="A44" s="6" t="s">
        <v>154</v>
      </c>
      <c r="B44" s="26">
        <f>SUM(G31:G33)-FixedCost</f>
        <v>1625.9067187499895</v>
      </c>
      <c r="C44" s="4" t="s">
        <v>155</v>
      </c>
    </row>
    <row r="45" spans="1:7" x14ac:dyDescent="0.2">
      <c r="A45" s="21" t="s">
        <v>157</v>
      </c>
      <c r="B45" s="14">
        <f>BreakEven_BedsPlanted</f>
        <v>7</v>
      </c>
      <c r="C45" s="4" t="s">
        <v>175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4"/>
  <sheetViews>
    <sheetView workbookViewId="0"/>
  </sheetViews>
  <sheetFormatPr baseColWidth="10" defaultColWidth="8.83203125" defaultRowHeight="15" x14ac:dyDescent="0.2"/>
  <cols>
    <col min="1" max="1" width="70" customWidth="1"/>
    <col min="2" max="2" width="14" customWidth="1"/>
    <col min="3" max="3" width="10" customWidth="1"/>
  </cols>
  <sheetData>
    <row r="1" spans="1:3" ht="18" x14ac:dyDescent="0.2">
      <c r="A1" s="1" t="s">
        <v>176</v>
      </c>
    </row>
    <row r="2" spans="1:3" x14ac:dyDescent="0.2">
      <c r="A2" s="4" t="s">
        <v>177</v>
      </c>
    </row>
    <row r="4" spans="1:3" x14ac:dyDescent="0.2">
      <c r="A4" s="5" t="s">
        <v>178</v>
      </c>
      <c r="B4" s="5" t="s">
        <v>179</v>
      </c>
      <c r="C4" s="5" t="s">
        <v>180</v>
      </c>
    </row>
    <row r="5" spans="1:3" x14ac:dyDescent="0.2">
      <c r="A5" s="12" t="s">
        <v>181</v>
      </c>
    </row>
    <row r="6" spans="1:3" x14ac:dyDescent="0.2">
      <c r="A6" s="6" t="s">
        <v>182</v>
      </c>
      <c r="B6" s="6" t="b">
        <f>AND(Tomato_Beds=INT(Tomato_Beds),Carrot_Beds=INT(Carrot_Beds),Mesclun_Beds=INT(Mesclun_Beds))</f>
        <v>1</v>
      </c>
      <c r="C6" s="21" t="str">
        <f>IF(B6,"Pass","Fail")</f>
        <v>Pass</v>
      </c>
    </row>
    <row r="7" spans="1:3" x14ac:dyDescent="0.2">
      <c r="A7" s="6" t="s">
        <v>183</v>
      </c>
      <c r="B7" s="6" t="b">
        <f>AND(Tomato_Beds&gt;=0,Tomato_Beds&lt;=Tomato_Cap,Carrot_Beds&gt;=0,Carrot_Beds&lt;=Carrot_Cap,Mesclun_Beds&gt;=0,Mesclun_Beds&lt;=Mesclun_Cap)</f>
        <v>1</v>
      </c>
      <c r="C7" s="21" t="str">
        <f>IF(B7,"Pass","Fail")</f>
        <v>Pass</v>
      </c>
    </row>
    <row r="8" spans="1:3" x14ac:dyDescent="0.2">
      <c r="A8" s="6" t="s">
        <v>184</v>
      </c>
      <c r="B8" s="6">
        <f>BedsPlanted</f>
        <v>60</v>
      </c>
      <c r="C8" s="21" t="str">
        <f>IF(B8&lt;=TotalBeds,"Pass","Fail")</f>
        <v>Pass</v>
      </c>
    </row>
    <row r="9" spans="1:3" x14ac:dyDescent="0.2">
      <c r="A9" s="6" t="s">
        <v>185</v>
      </c>
      <c r="B9" s="16">
        <f>TempHours</f>
        <v>4557.2161142738878</v>
      </c>
      <c r="C9" s="21" t="str">
        <f>IF(B9&lt;=TempHoursMax,"Pass","Fail")</f>
        <v>Pass</v>
      </c>
    </row>
    <row r="10" spans="1:3" x14ac:dyDescent="0.2">
      <c r="A10" s="6" t="s">
        <v>186</v>
      </c>
      <c r="B10" s="16">
        <f>Schedules!B9</f>
        <v>99.000000000000014</v>
      </c>
      <c r="C10" s="21" t="str">
        <f>IF(ROUND(B10,6)=99,"Pass","Fail")</f>
        <v>Pass</v>
      </c>
    </row>
    <row r="11" spans="1:3" x14ac:dyDescent="0.2">
      <c r="A11" s="6" t="s">
        <v>187</v>
      </c>
      <c r="B11" s="16">
        <f>Schedules!B10</f>
        <v>217.80000000000004</v>
      </c>
      <c r="C11" s="21" t="str">
        <f>IF(ROUND(B11,6)=217.8,"Pass","Fail")</f>
        <v>Pass</v>
      </c>
    </row>
    <row r="12" spans="1:3" x14ac:dyDescent="0.2">
      <c r="A12" s="6" t="s">
        <v>188</v>
      </c>
      <c r="B12" s="6">
        <f>SUMPRODUCT(--ISERROR(Schedules!A1:AC58))</f>
        <v>0</v>
      </c>
      <c r="C12" s="21" t="str">
        <f>IF(B12=0,"Pass","Fail")</f>
        <v>Pass</v>
      </c>
    </row>
    <row r="13" spans="1:3" x14ac:dyDescent="0.2">
      <c r="A13" s="6" t="s">
        <v>189</v>
      </c>
      <c r="B13" s="6">
        <f>SUMPRODUCT(--ISERROR(Optimizer!A1:G60))</f>
        <v>0</v>
      </c>
      <c r="C13" s="21" t="str">
        <f>IF(B13=0,"Pass","Fail")</f>
        <v>Pass</v>
      </c>
    </row>
    <row r="14" spans="1:3" x14ac:dyDescent="0.2">
      <c r="A14" s="6" t="s">
        <v>190</v>
      </c>
      <c r="B14" s="6">
        <f>SUMPRODUCT(--ISERROR('What if'!A1:M80))</f>
        <v>0</v>
      </c>
      <c r="C14" s="21" t="str">
        <f>IF(B14=0,"Pass","Fail")</f>
        <v>Pass</v>
      </c>
    </row>
    <row r="15" spans="1:3" x14ac:dyDescent="0.2">
      <c r="A15" s="6" t="s">
        <v>191</v>
      </c>
      <c r="B15" s="6" t="b">
        <f>AND(Schedules!H58="No",Schedules!R58="No",Schedules!AB58="No")</f>
        <v>1</v>
      </c>
      <c r="C15" s="21" t="str">
        <f>IF(B15,"Pass","Fail")</f>
        <v>Pass</v>
      </c>
    </row>
    <row r="16" spans="1:3" x14ac:dyDescent="0.2">
      <c r="A16" s="6" t="s">
        <v>192</v>
      </c>
      <c r="B16" s="16" t="str">
        <f>IF(OwnHoursUsed&gt;=OwnHours,"Yes","No")</f>
        <v>Yes</v>
      </c>
      <c r="C16" s="29" t="s">
        <v>193</v>
      </c>
    </row>
    <row r="17" spans="1:3" x14ac:dyDescent="0.2">
      <c r="A17" s="12" t="s">
        <v>194</v>
      </c>
    </row>
    <row r="18" spans="1:3" x14ac:dyDescent="0.2">
      <c r="A18" s="6" t="s">
        <v>195</v>
      </c>
      <c r="B18" s="6" t="b">
        <f>AND(BreakEven_Tomato_Beds=INT(BreakEven_Tomato_Beds),BreakEven_Carrot_Beds=INT(BreakEven_Carrot_Beds),BreakEven_Mesclun_Beds=INT(BreakEven_Mesclun_Beds),BreakEven_Tomato_Beds&gt;=0,BreakEven_Tomato_Beds&lt;=Tomato_Cap,BreakEven_Carrot_Beds&gt;=0,BreakEven_Carrot_Beds&lt;=Carrot_Cap,BreakEven_Mesclun_Beds&gt;=0,BreakEven_Mesclun_Beds&lt;=Mesclun_Cap)</f>
        <v>1</v>
      </c>
      <c r="C18" s="21" t="str">
        <f>IF(B18,"Pass","Fail")</f>
        <v>Pass</v>
      </c>
    </row>
    <row r="19" spans="1:3" x14ac:dyDescent="0.2">
      <c r="A19" s="6" t="s">
        <v>184</v>
      </c>
      <c r="B19" s="6">
        <f>BreakEven_BedsPlanted</f>
        <v>7</v>
      </c>
      <c r="C19" s="21" t="str">
        <f>IF(B19&lt;=TotalBeds,"Pass","Fail")</f>
        <v>Pass</v>
      </c>
    </row>
    <row r="20" spans="1:3" x14ac:dyDescent="0.2">
      <c r="A20" s="6" t="s">
        <v>196</v>
      </c>
      <c r="B20" s="16">
        <f>BreakEven_TempHours</f>
        <v>507.69177300000069</v>
      </c>
      <c r="C20" s="21" t="str">
        <f>IF(B20&lt;=BreakEven_TempHoursMax,"Pass","Fail")</f>
        <v>Pass</v>
      </c>
    </row>
    <row r="21" spans="1:3" x14ac:dyDescent="0.2">
      <c r="A21" s="6" t="s">
        <v>197</v>
      </c>
      <c r="B21" s="18">
        <f>BreakEven_SeasonProfit</f>
        <v>1625.9067187499895</v>
      </c>
      <c r="C21" s="21" t="str">
        <f>IF(B21&gt;=0,"Pass","Fail")</f>
        <v>Pass</v>
      </c>
    </row>
    <row r="22" spans="1:3" x14ac:dyDescent="0.2">
      <c r="A22" s="12" t="s">
        <v>198</v>
      </c>
    </row>
    <row r="23" spans="1:3" x14ac:dyDescent="0.2">
      <c r="A23" s="6" t="s">
        <v>195</v>
      </c>
      <c r="B23" s="6" t="b">
        <f>AND(WhatIf_Tomato_Beds=INT(WhatIf_Tomato_Beds),WhatIf_Carrot_Beds=INT(WhatIf_Carrot_Beds),WhatIf_Mesclun_Beds=INT(WhatIf_Mesclun_Beds),WhatIf_Tomato_Beds&gt;=0,WhatIf_Tomato_Beds&lt;=Tomato_Cap,WhatIf_Carrot_Beds&gt;=0,WhatIf_Carrot_Beds&lt;=Carrot_Cap,WhatIf_Mesclun_Beds&gt;=0,WhatIf_Mesclun_Beds&lt;=Mesclun_Cap)</f>
        <v>1</v>
      </c>
      <c r="C23" s="21" t="str">
        <f>IF(B23,"Pass","Fail")</f>
        <v>Pass</v>
      </c>
    </row>
    <row r="24" spans="1:3" x14ac:dyDescent="0.2">
      <c r="A24" s="6" t="s">
        <v>184</v>
      </c>
      <c r="B24" s="6">
        <f>WhatIf_BedsPlanted</f>
        <v>60</v>
      </c>
      <c r="C24" s="21" t="str">
        <f>IF(B24&lt;=TotalBeds,"Pass","Fail")</f>
        <v>Pass</v>
      </c>
    </row>
    <row r="25" spans="1:3" x14ac:dyDescent="0.2">
      <c r="A25" s="6" t="s">
        <v>199</v>
      </c>
      <c r="B25" s="16">
        <f>WhatIf_TempPaidHours</f>
        <v>4849.1175812422107</v>
      </c>
      <c r="C25" s="21" t="str">
        <f>IF(B25&lt;=WhatIf_TempPaidHoursMax,"Pass","Fail")</f>
        <v>Pass</v>
      </c>
    </row>
    <row r="26" spans="1:3" x14ac:dyDescent="0.2">
      <c r="A26" s="6" t="s">
        <v>200</v>
      </c>
      <c r="B26" s="30">
        <f>TempEfficiency</f>
        <v>0.94499999999999973</v>
      </c>
      <c r="C26" s="21" t="str">
        <f>IF(ROUND(B26,6)=0.945,"Pass","Fail")</f>
        <v>Pass</v>
      </c>
    </row>
    <row r="27" spans="1:3" x14ac:dyDescent="0.2">
      <c r="A27" s="6" t="s">
        <v>201</v>
      </c>
      <c r="B27" s="30">
        <f>OwnEfficiency</f>
        <v>0.96499999999999986</v>
      </c>
      <c r="C27" s="21" t="str">
        <f>IF(ROUND(B27,6)=0.965,"Pass","Fail")</f>
        <v>Pass</v>
      </c>
    </row>
    <row r="29" spans="1:3" x14ac:dyDescent="0.2">
      <c r="A29" s="12" t="s">
        <v>202</v>
      </c>
    </row>
    <row r="30" spans="1:3" x14ac:dyDescent="0.2">
      <c r="A30" s="19" t="s">
        <v>203</v>
      </c>
    </row>
    <row r="31" spans="1:3" x14ac:dyDescent="0.2">
      <c r="A31" s="19" t="s">
        <v>204</v>
      </c>
    </row>
    <row r="32" spans="1:3" x14ac:dyDescent="0.2">
      <c r="A32" s="19" t="s">
        <v>205</v>
      </c>
    </row>
    <row r="33" spans="1:1" x14ac:dyDescent="0.2">
      <c r="A33" s="19" t="s">
        <v>206</v>
      </c>
    </row>
    <row r="34" spans="1:1" x14ac:dyDescent="0.2">
      <c r="A34" s="19" t="s">
        <v>207</v>
      </c>
    </row>
  </sheetData>
  <conditionalFormatting sqref="C5:C28">
    <cfRule type="expression" dxfId="1" priority="1">
      <formula>C5="Pass"</formula>
    </cfRule>
    <cfRule type="expression" dxfId="0" priority="2">
      <formula>C5="Fail"</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8ABC-B094-CC4B-B6DD-86A13CE9797F}">
  <dimension ref="A1:G33"/>
  <sheetViews>
    <sheetView showGridLines="0" workbookViewId="0"/>
  </sheetViews>
  <sheetFormatPr baseColWidth="10" defaultRowHeight="15" x14ac:dyDescent="0.2"/>
  <cols>
    <col min="1" max="1" width="2.33203125" customWidth="1"/>
    <col min="2" max="2" width="18" bestFit="1" customWidth="1"/>
    <col min="3" max="3" width="19.33203125" bestFit="1" customWidth="1"/>
    <col min="4" max="4" width="12" bestFit="1" customWidth="1"/>
    <col min="5" max="5" width="12.83203125" bestFit="1" customWidth="1"/>
    <col min="6" max="6" width="10.1640625" bestFit="1" customWidth="1"/>
    <col min="7" max="7" width="12.1640625" bestFit="1" customWidth="1"/>
  </cols>
  <sheetData>
    <row r="1" spans="1:5" x14ac:dyDescent="0.2">
      <c r="A1" s="35" t="s">
        <v>245</v>
      </c>
    </row>
    <row r="2" spans="1:5" x14ac:dyDescent="0.2">
      <c r="A2" s="35" t="s">
        <v>286</v>
      </c>
    </row>
    <row r="3" spans="1:5" x14ac:dyDescent="0.2">
      <c r="A3" s="35" t="s">
        <v>287</v>
      </c>
    </row>
    <row r="4" spans="1:5" x14ac:dyDescent="0.2">
      <c r="A4" s="35" t="s">
        <v>248</v>
      </c>
    </row>
    <row r="5" spans="1:5" x14ac:dyDescent="0.2">
      <c r="A5" s="35" t="s">
        <v>249</v>
      </c>
    </row>
    <row r="6" spans="1:5" x14ac:dyDescent="0.2">
      <c r="A6" s="35"/>
      <c r="B6" t="s">
        <v>250</v>
      </c>
    </row>
    <row r="7" spans="1:5" x14ac:dyDescent="0.2">
      <c r="A7" s="35"/>
      <c r="B7" t="s">
        <v>288</v>
      </c>
    </row>
    <row r="8" spans="1:5" x14ac:dyDescent="0.2">
      <c r="A8" s="35"/>
      <c r="B8" t="s">
        <v>252</v>
      </c>
    </row>
    <row r="9" spans="1:5" x14ac:dyDescent="0.2">
      <c r="A9" s="35" t="s">
        <v>253</v>
      </c>
    </row>
    <row r="10" spans="1:5" x14ac:dyDescent="0.2">
      <c r="B10" t="s">
        <v>254</v>
      </c>
    </row>
    <row r="11" spans="1:5" x14ac:dyDescent="0.2">
      <c r="B11" t="s">
        <v>255</v>
      </c>
    </row>
    <row r="12" spans="1:5" x14ac:dyDescent="0.2">
      <c r="B12" t="s">
        <v>256</v>
      </c>
    </row>
    <row r="14" spans="1:5" ht="16" thickBot="1" x14ac:dyDescent="0.25">
      <c r="A14" t="s">
        <v>257</v>
      </c>
    </row>
    <row r="15" spans="1:5" ht="16" thickBot="1" x14ac:dyDescent="0.25">
      <c r="B15" s="37" t="s">
        <v>258</v>
      </c>
      <c r="C15" s="37" t="s">
        <v>21</v>
      </c>
      <c r="D15" s="37" t="s">
        <v>259</v>
      </c>
      <c r="E15" s="37" t="s">
        <v>260</v>
      </c>
    </row>
    <row r="16" spans="1:5" ht="16" thickBot="1" x14ac:dyDescent="0.25">
      <c r="B16" s="36" t="s">
        <v>289</v>
      </c>
      <c r="C16" s="36" t="s">
        <v>290</v>
      </c>
      <c r="D16" s="39">
        <v>-20000</v>
      </c>
      <c r="E16" s="39">
        <v>37708.143267451982</v>
      </c>
    </row>
    <row r="19" spans="1:7" ht="16" thickBot="1" x14ac:dyDescent="0.25">
      <c r="A19" t="s">
        <v>261</v>
      </c>
    </row>
    <row r="20" spans="1:7" ht="16" thickBot="1" x14ac:dyDescent="0.25">
      <c r="B20" s="37" t="s">
        <v>258</v>
      </c>
      <c r="C20" s="37" t="s">
        <v>21</v>
      </c>
      <c r="D20" s="37" t="s">
        <v>259</v>
      </c>
      <c r="E20" s="37" t="s">
        <v>260</v>
      </c>
      <c r="F20" s="37" t="s">
        <v>262</v>
      </c>
    </row>
    <row r="21" spans="1:7" x14ac:dyDescent="0.2">
      <c r="B21" s="38" t="s">
        <v>291</v>
      </c>
      <c r="C21" s="38" t="s">
        <v>292</v>
      </c>
      <c r="D21" s="40">
        <v>0</v>
      </c>
      <c r="E21" s="40">
        <v>10</v>
      </c>
      <c r="F21" s="38" t="s">
        <v>262</v>
      </c>
    </row>
    <row r="22" spans="1:7" x14ac:dyDescent="0.2">
      <c r="B22" s="38" t="s">
        <v>293</v>
      </c>
      <c r="C22" s="38" t="s">
        <v>294</v>
      </c>
      <c r="D22" s="40">
        <v>0</v>
      </c>
      <c r="E22" s="40">
        <v>20</v>
      </c>
      <c r="F22" s="38" t="s">
        <v>262</v>
      </c>
    </row>
    <row r="23" spans="1:7" ht="16" thickBot="1" x14ac:dyDescent="0.25">
      <c r="B23" s="36" t="s">
        <v>295</v>
      </c>
      <c r="C23" s="36" t="s">
        <v>296</v>
      </c>
      <c r="D23" s="41">
        <v>0</v>
      </c>
      <c r="E23" s="41">
        <v>30</v>
      </c>
      <c r="F23" s="36" t="s">
        <v>262</v>
      </c>
    </row>
    <row r="26" spans="1:7" ht="16" thickBot="1" x14ac:dyDescent="0.25">
      <c r="A26" t="s">
        <v>241</v>
      </c>
    </row>
    <row r="27" spans="1:7" ht="16" thickBot="1" x14ac:dyDescent="0.25">
      <c r="B27" s="37" t="s">
        <v>258</v>
      </c>
      <c r="C27" s="37" t="s">
        <v>21</v>
      </c>
      <c r="D27" s="37" t="s">
        <v>263</v>
      </c>
      <c r="E27" s="37" t="s">
        <v>264</v>
      </c>
      <c r="F27" s="37" t="s">
        <v>265</v>
      </c>
      <c r="G27" s="37" t="s">
        <v>266</v>
      </c>
    </row>
    <row r="28" spans="1:7" x14ac:dyDescent="0.2">
      <c r="B28" s="38" t="s">
        <v>297</v>
      </c>
      <c r="C28" s="38" t="s">
        <v>298</v>
      </c>
      <c r="D28" s="40">
        <v>60</v>
      </c>
      <c r="E28" s="38" t="s">
        <v>299</v>
      </c>
      <c r="F28" s="38" t="s">
        <v>276</v>
      </c>
      <c r="G28" s="38">
        <v>3.9999999999999929</v>
      </c>
    </row>
    <row r="29" spans="1:7" x14ac:dyDescent="0.2">
      <c r="B29" s="38" t="s">
        <v>300</v>
      </c>
      <c r="C29" s="38" t="s">
        <v>301</v>
      </c>
      <c r="D29" s="42">
        <v>4848.7014246859462</v>
      </c>
      <c r="E29" s="38" t="s">
        <v>302</v>
      </c>
      <c r="F29" s="38" t="s">
        <v>276</v>
      </c>
      <c r="G29" s="38">
        <v>911.29857531405287</v>
      </c>
    </row>
    <row r="30" spans="1:7" x14ac:dyDescent="0.2">
      <c r="B30" s="38" t="s">
        <v>293</v>
      </c>
      <c r="C30" s="38" t="s">
        <v>294</v>
      </c>
      <c r="D30" s="40">
        <v>20</v>
      </c>
      <c r="E30" s="38" t="s">
        <v>303</v>
      </c>
      <c r="F30" s="38" t="s">
        <v>280</v>
      </c>
      <c r="G30" s="38">
        <v>0</v>
      </c>
    </row>
    <row r="31" spans="1:7" x14ac:dyDescent="0.2">
      <c r="B31" s="38" t="s">
        <v>295</v>
      </c>
      <c r="C31" s="38" t="s">
        <v>296</v>
      </c>
      <c r="D31" s="40">
        <v>30</v>
      </c>
      <c r="E31" s="38" t="s">
        <v>304</v>
      </c>
      <c r="F31" s="38" t="s">
        <v>280</v>
      </c>
      <c r="G31" s="38">
        <v>0</v>
      </c>
    </row>
    <row r="32" spans="1:7" x14ac:dyDescent="0.2">
      <c r="B32" s="38" t="s">
        <v>291</v>
      </c>
      <c r="C32" s="38" t="s">
        <v>292</v>
      </c>
      <c r="D32" s="40">
        <v>10</v>
      </c>
      <c r="E32" s="38" t="s">
        <v>305</v>
      </c>
      <c r="F32" s="38" t="s">
        <v>276</v>
      </c>
      <c r="G32" s="38">
        <v>10</v>
      </c>
    </row>
    <row r="33" spans="2:7" ht="16" thickBot="1" x14ac:dyDescent="0.25">
      <c r="B33" s="36" t="s">
        <v>306</v>
      </c>
      <c r="C33" s="36"/>
      <c r="D33" s="36"/>
      <c r="E33" s="36"/>
      <c r="F33" s="36"/>
      <c r="G33" s="3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3B02F-22DA-6E40-952D-506EC83606CF}">
  <dimension ref="A1:G33"/>
  <sheetViews>
    <sheetView showGridLines="0" workbookViewId="0"/>
  </sheetViews>
  <sheetFormatPr baseColWidth="10" defaultRowHeight="15" x14ac:dyDescent="0.2"/>
  <cols>
    <col min="1" max="1" width="2.33203125" customWidth="1"/>
    <col min="2" max="2" width="18" bestFit="1" customWidth="1"/>
    <col min="3" max="3" width="19.33203125" bestFit="1" customWidth="1"/>
    <col min="4" max="4" width="12" bestFit="1" customWidth="1"/>
    <col min="5" max="5" width="12.83203125" bestFit="1" customWidth="1"/>
    <col min="6" max="6" width="10.1640625" bestFit="1" customWidth="1"/>
    <col min="7" max="7" width="12.1640625" bestFit="1" customWidth="1"/>
  </cols>
  <sheetData>
    <row r="1" spans="1:5" x14ac:dyDescent="0.2">
      <c r="A1" s="35" t="s">
        <v>245</v>
      </c>
    </row>
    <row r="2" spans="1:5" x14ac:dyDescent="0.2">
      <c r="A2" s="35" t="s">
        <v>286</v>
      </c>
    </row>
    <row r="3" spans="1:5" x14ac:dyDescent="0.2">
      <c r="A3" s="35" t="s">
        <v>347</v>
      </c>
    </row>
    <row r="4" spans="1:5" x14ac:dyDescent="0.2">
      <c r="A4" s="35" t="s">
        <v>248</v>
      </c>
    </row>
    <row r="5" spans="1:5" x14ac:dyDescent="0.2">
      <c r="A5" s="35" t="s">
        <v>249</v>
      </c>
    </row>
    <row r="6" spans="1:5" x14ac:dyDescent="0.2">
      <c r="A6" s="35"/>
      <c r="B6" t="s">
        <v>250</v>
      </c>
    </row>
    <row r="7" spans="1:5" x14ac:dyDescent="0.2">
      <c r="A7" s="35"/>
      <c r="B7" t="s">
        <v>348</v>
      </c>
    </row>
    <row r="8" spans="1:5" x14ac:dyDescent="0.2">
      <c r="A8" s="35"/>
      <c r="B8" t="s">
        <v>252</v>
      </c>
    </row>
    <row r="9" spans="1:5" x14ac:dyDescent="0.2">
      <c r="A9" s="35" t="s">
        <v>253</v>
      </c>
    </row>
    <row r="10" spans="1:5" x14ac:dyDescent="0.2">
      <c r="B10" t="s">
        <v>254</v>
      </c>
    </row>
    <row r="11" spans="1:5" x14ac:dyDescent="0.2">
      <c r="B11" t="s">
        <v>255</v>
      </c>
    </row>
    <row r="12" spans="1:5" x14ac:dyDescent="0.2">
      <c r="B12" t="s">
        <v>256</v>
      </c>
    </row>
    <row r="14" spans="1:5" ht="16" thickBot="1" x14ac:dyDescent="0.25">
      <c r="A14" t="s">
        <v>257</v>
      </c>
    </row>
    <row r="15" spans="1:5" ht="16" thickBot="1" x14ac:dyDescent="0.25">
      <c r="B15" s="44" t="s">
        <v>258</v>
      </c>
      <c r="C15" s="44" t="s">
        <v>21</v>
      </c>
      <c r="D15" s="44" t="s">
        <v>259</v>
      </c>
      <c r="E15" s="44" t="s">
        <v>260</v>
      </c>
    </row>
    <row r="16" spans="1:5" ht="16" thickBot="1" x14ac:dyDescent="0.25">
      <c r="B16" s="43" t="s">
        <v>289</v>
      </c>
      <c r="C16" s="43" t="s">
        <v>290</v>
      </c>
      <c r="D16" s="46">
        <v>37693.930881211621</v>
      </c>
      <c r="E16" s="46">
        <v>37693.930881211621</v>
      </c>
    </row>
    <row r="19" spans="1:7" ht="16" thickBot="1" x14ac:dyDescent="0.25">
      <c r="A19" t="s">
        <v>261</v>
      </c>
    </row>
    <row r="20" spans="1:7" ht="16" thickBot="1" x14ac:dyDescent="0.25">
      <c r="B20" s="44" t="s">
        <v>258</v>
      </c>
      <c r="C20" s="44" t="s">
        <v>21</v>
      </c>
      <c r="D20" s="44" t="s">
        <v>259</v>
      </c>
      <c r="E20" s="44" t="s">
        <v>260</v>
      </c>
      <c r="F20" s="44" t="s">
        <v>262</v>
      </c>
    </row>
    <row r="21" spans="1:7" x14ac:dyDescent="0.2">
      <c r="B21" s="45" t="s">
        <v>291</v>
      </c>
      <c r="C21" s="45" t="s">
        <v>292</v>
      </c>
      <c r="D21" s="47">
        <v>10</v>
      </c>
      <c r="E21" s="47">
        <v>10</v>
      </c>
      <c r="F21" s="45" t="s">
        <v>262</v>
      </c>
    </row>
    <row r="22" spans="1:7" x14ac:dyDescent="0.2">
      <c r="B22" s="45" t="s">
        <v>293</v>
      </c>
      <c r="C22" s="45" t="s">
        <v>294</v>
      </c>
      <c r="D22" s="47">
        <v>20</v>
      </c>
      <c r="E22" s="47">
        <v>20</v>
      </c>
      <c r="F22" s="45" t="s">
        <v>262</v>
      </c>
    </row>
    <row r="23" spans="1:7" ht="16" thickBot="1" x14ac:dyDescent="0.25">
      <c r="B23" s="43" t="s">
        <v>295</v>
      </c>
      <c r="C23" s="43" t="s">
        <v>296</v>
      </c>
      <c r="D23" s="48">
        <v>30</v>
      </c>
      <c r="E23" s="48">
        <v>30</v>
      </c>
      <c r="F23" s="43" t="s">
        <v>262</v>
      </c>
    </row>
    <row r="26" spans="1:7" ht="16" thickBot="1" x14ac:dyDescent="0.25">
      <c r="A26" t="s">
        <v>241</v>
      </c>
    </row>
    <row r="27" spans="1:7" ht="16" thickBot="1" x14ac:dyDescent="0.25">
      <c r="B27" s="44" t="s">
        <v>258</v>
      </c>
      <c r="C27" s="44" t="s">
        <v>21</v>
      </c>
      <c r="D27" s="44" t="s">
        <v>263</v>
      </c>
      <c r="E27" s="44" t="s">
        <v>264</v>
      </c>
      <c r="F27" s="44" t="s">
        <v>265</v>
      </c>
      <c r="G27" s="44" t="s">
        <v>266</v>
      </c>
    </row>
    <row r="28" spans="1:7" x14ac:dyDescent="0.2">
      <c r="B28" s="45" t="s">
        <v>297</v>
      </c>
      <c r="C28" s="45" t="s">
        <v>298</v>
      </c>
      <c r="D28" s="47">
        <v>60</v>
      </c>
      <c r="E28" s="45" t="s">
        <v>299</v>
      </c>
      <c r="F28" s="45" t="s">
        <v>276</v>
      </c>
      <c r="G28" s="45">
        <v>4</v>
      </c>
    </row>
    <row r="29" spans="1:7" x14ac:dyDescent="0.2">
      <c r="B29" s="45" t="s">
        <v>300</v>
      </c>
      <c r="C29" s="45" t="s">
        <v>301</v>
      </c>
      <c r="D29" s="49">
        <v>4849.1175812422107</v>
      </c>
      <c r="E29" s="45" t="s">
        <v>302</v>
      </c>
      <c r="F29" s="45" t="s">
        <v>276</v>
      </c>
      <c r="G29" s="45">
        <v>910.88241875778931</v>
      </c>
    </row>
    <row r="30" spans="1:7" x14ac:dyDescent="0.2">
      <c r="B30" s="45" t="s">
        <v>293</v>
      </c>
      <c r="C30" s="45" t="s">
        <v>294</v>
      </c>
      <c r="D30" s="47">
        <v>20</v>
      </c>
      <c r="E30" s="45" t="s">
        <v>303</v>
      </c>
      <c r="F30" s="45" t="s">
        <v>280</v>
      </c>
      <c r="G30" s="45">
        <v>0</v>
      </c>
    </row>
    <row r="31" spans="1:7" x14ac:dyDescent="0.2">
      <c r="B31" s="45" t="s">
        <v>295</v>
      </c>
      <c r="C31" s="45" t="s">
        <v>296</v>
      </c>
      <c r="D31" s="47">
        <v>30</v>
      </c>
      <c r="E31" s="45" t="s">
        <v>304</v>
      </c>
      <c r="F31" s="45" t="s">
        <v>280</v>
      </c>
      <c r="G31" s="45">
        <v>0</v>
      </c>
    </row>
    <row r="32" spans="1:7" x14ac:dyDescent="0.2">
      <c r="B32" s="45" t="s">
        <v>291</v>
      </c>
      <c r="C32" s="45" t="s">
        <v>292</v>
      </c>
      <c r="D32" s="47">
        <v>10</v>
      </c>
      <c r="E32" s="45" t="s">
        <v>305</v>
      </c>
      <c r="F32" s="45" t="s">
        <v>276</v>
      </c>
      <c r="G32" s="45">
        <v>10</v>
      </c>
    </row>
    <row r="33" spans="2:7" ht="16" thickBot="1" x14ac:dyDescent="0.25">
      <c r="B33" s="43" t="s">
        <v>306</v>
      </c>
      <c r="C33" s="43"/>
      <c r="D33" s="43"/>
      <c r="E33" s="43"/>
      <c r="F33" s="43"/>
      <c r="G33"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7"/>
  <sheetViews>
    <sheetView tabSelected="1" topLeftCell="A24" workbookViewId="0">
      <selection activeCell="O6" sqref="O6"/>
    </sheetView>
  </sheetViews>
  <sheetFormatPr baseColWidth="10" defaultColWidth="8.83203125" defaultRowHeight="15" x14ac:dyDescent="0.2"/>
  <cols>
    <col min="1" max="1" width="26" customWidth="1"/>
    <col min="2" max="2" width="11" customWidth="1"/>
    <col min="3" max="3" width="13" customWidth="1"/>
    <col min="4" max="7" width="11" customWidth="1"/>
    <col min="8" max="8" width="14" customWidth="1"/>
    <col min="9" max="13" width="11" customWidth="1"/>
  </cols>
  <sheetData>
    <row r="1" spans="1:13" ht="18" x14ac:dyDescent="0.2">
      <c r="A1" s="1" t="s">
        <v>208</v>
      </c>
    </row>
    <row r="2" spans="1:13" x14ac:dyDescent="0.2">
      <c r="A2" s="4" t="s">
        <v>209</v>
      </c>
    </row>
    <row r="4" spans="1:13" x14ac:dyDescent="0.2">
      <c r="A4" s="12" t="s">
        <v>210</v>
      </c>
    </row>
    <row r="5" spans="1:13" x14ac:dyDescent="0.2">
      <c r="A5" s="31" t="s">
        <v>211</v>
      </c>
      <c r="B5" s="32">
        <v>1</v>
      </c>
      <c r="C5" s="32">
        <v>2</v>
      </c>
      <c r="D5" s="32">
        <v>3</v>
      </c>
      <c r="E5" s="32">
        <v>4</v>
      </c>
      <c r="F5" s="32">
        <v>5</v>
      </c>
      <c r="G5" s="32">
        <v>6</v>
      </c>
      <c r="H5" s="32">
        <v>7</v>
      </c>
      <c r="I5" s="32">
        <v>8</v>
      </c>
      <c r="J5" s="32">
        <v>9</v>
      </c>
      <c r="K5" s="32">
        <v>10</v>
      </c>
      <c r="L5" s="32">
        <v>11</v>
      </c>
      <c r="M5" s="32">
        <v>12</v>
      </c>
    </row>
    <row r="6" spans="1:13" x14ac:dyDescent="0.2">
      <c r="A6" s="32">
        <v>1</v>
      </c>
      <c r="B6" s="33">
        <f t="shared" ref="B6:M12" si="0">IF(AND($A6&lt;=TempDaysPerWeek,B$5&lt;=TempDayHours),1-DailyPenalty*($A6-1)-HourlyLoss*(B$5-1),"")</f>
        <v>1</v>
      </c>
      <c r="C6" s="33">
        <f t="shared" si="0"/>
        <v>0.99</v>
      </c>
      <c r="D6" s="33">
        <f t="shared" si="0"/>
        <v>0.98</v>
      </c>
      <c r="E6" s="33">
        <f t="shared" si="0"/>
        <v>0.97</v>
      </c>
      <c r="F6" s="33">
        <f t="shared" si="0"/>
        <v>0.96</v>
      </c>
      <c r="G6" s="33">
        <f t="shared" si="0"/>
        <v>0.95</v>
      </c>
      <c r="H6" s="33">
        <f t="shared" si="0"/>
        <v>0.94</v>
      </c>
      <c r="I6" s="33">
        <f t="shared" si="0"/>
        <v>0.92999999999999994</v>
      </c>
      <c r="J6" s="33" t="str">
        <f t="shared" si="0"/>
        <v/>
      </c>
      <c r="K6" s="33" t="str">
        <f t="shared" si="0"/>
        <v/>
      </c>
      <c r="L6" s="33" t="str">
        <f t="shared" si="0"/>
        <v/>
      </c>
      <c r="M6" s="33" t="str">
        <f t="shared" si="0"/>
        <v/>
      </c>
    </row>
    <row r="7" spans="1:13" x14ac:dyDescent="0.2">
      <c r="A7" s="32">
        <v>2</v>
      </c>
      <c r="B7" s="33">
        <f t="shared" si="0"/>
        <v>0.99</v>
      </c>
      <c r="C7" s="33">
        <f t="shared" si="0"/>
        <v>0.98</v>
      </c>
      <c r="D7" s="33">
        <f t="shared" si="0"/>
        <v>0.97</v>
      </c>
      <c r="E7" s="33">
        <f t="shared" si="0"/>
        <v>0.96</v>
      </c>
      <c r="F7" s="33">
        <f t="shared" si="0"/>
        <v>0.95</v>
      </c>
      <c r="G7" s="33">
        <f t="shared" si="0"/>
        <v>0.94</v>
      </c>
      <c r="H7" s="33">
        <f t="shared" si="0"/>
        <v>0.92999999999999994</v>
      </c>
      <c r="I7" s="33">
        <f t="shared" si="0"/>
        <v>0.91999999999999993</v>
      </c>
      <c r="J7" s="33" t="str">
        <f t="shared" si="0"/>
        <v/>
      </c>
      <c r="K7" s="33" t="str">
        <f t="shared" si="0"/>
        <v/>
      </c>
      <c r="L7" s="33" t="str">
        <f t="shared" si="0"/>
        <v/>
      </c>
      <c r="M7" s="33" t="str">
        <f t="shared" si="0"/>
        <v/>
      </c>
    </row>
    <row r="8" spans="1:13" x14ac:dyDescent="0.2">
      <c r="A8" s="32">
        <v>3</v>
      </c>
      <c r="B8" s="33">
        <f t="shared" si="0"/>
        <v>0.98</v>
      </c>
      <c r="C8" s="33">
        <f t="shared" si="0"/>
        <v>0.97</v>
      </c>
      <c r="D8" s="33">
        <f t="shared" si="0"/>
        <v>0.96</v>
      </c>
      <c r="E8" s="33">
        <f t="shared" si="0"/>
        <v>0.95</v>
      </c>
      <c r="F8" s="33">
        <f t="shared" si="0"/>
        <v>0.94</v>
      </c>
      <c r="G8" s="33">
        <f t="shared" si="0"/>
        <v>0.92999999999999994</v>
      </c>
      <c r="H8" s="33">
        <f t="shared" si="0"/>
        <v>0.91999999999999993</v>
      </c>
      <c r="I8" s="33">
        <f t="shared" si="0"/>
        <v>0.90999999999999992</v>
      </c>
      <c r="J8" s="33" t="str">
        <f t="shared" si="0"/>
        <v/>
      </c>
      <c r="K8" s="33" t="str">
        <f t="shared" si="0"/>
        <v/>
      </c>
      <c r="L8" s="33" t="str">
        <f t="shared" si="0"/>
        <v/>
      </c>
      <c r="M8" s="33" t="str">
        <f t="shared" si="0"/>
        <v/>
      </c>
    </row>
    <row r="9" spans="1:13" x14ac:dyDescent="0.2">
      <c r="A9" s="32">
        <v>4</v>
      </c>
      <c r="B9" s="33">
        <f t="shared" si="0"/>
        <v>0.97</v>
      </c>
      <c r="C9" s="33">
        <f t="shared" si="0"/>
        <v>0.96</v>
      </c>
      <c r="D9" s="33">
        <f t="shared" si="0"/>
        <v>0.95</v>
      </c>
      <c r="E9" s="33">
        <f t="shared" si="0"/>
        <v>0.94</v>
      </c>
      <c r="F9" s="33">
        <f t="shared" si="0"/>
        <v>0.92999999999999994</v>
      </c>
      <c r="G9" s="33">
        <f t="shared" si="0"/>
        <v>0.91999999999999993</v>
      </c>
      <c r="H9" s="33">
        <f t="shared" si="0"/>
        <v>0.90999999999999992</v>
      </c>
      <c r="I9" s="33">
        <f t="shared" si="0"/>
        <v>0.89999999999999991</v>
      </c>
      <c r="J9" s="33" t="str">
        <f t="shared" si="0"/>
        <v/>
      </c>
      <c r="K9" s="33" t="str">
        <f t="shared" si="0"/>
        <v/>
      </c>
      <c r="L9" s="33" t="str">
        <f t="shared" si="0"/>
        <v/>
      </c>
      <c r="M9" s="33" t="str">
        <f t="shared" si="0"/>
        <v/>
      </c>
    </row>
    <row r="10" spans="1:13" x14ac:dyDescent="0.2">
      <c r="A10" s="32">
        <v>5</v>
      </c>
      <c r="B10" s="33">
        <f t="shared" si="0"/>
        <v>0.96</v>
      </c>
      <c r="C10" s="33">
        <f t="shared" si="0"/>
        <v>0.95</v>
      </c>
      <c r="D10" s="33">
        <f t="shared" si="0"/>
        <v>0.94</v>
      </c>
      <c r="E10" s="33">
        <f t="shared" si="0"/>
        <v>0.92999999999999994</v>
      </c>
      <c r="F10" s="33">
        <f t="shared" si="0"/>
        <v>0.91999999999999993</v>
      </c>
      <c r="G10" s="33">
        <f t="shared" si="0"/>
        <v>0.90999999999999992</v>
      </c>
      <c r="H10" s="33">
        <f t="shared" si="0"/>
        <v>0.89999999999999991</v>
      </c>
      <c r="I10" s="33">
        <f t="shared" si="0"/>
        <v>0.8899999999999999</v>
      </c>
      <c r="J10" s="33" t="str">
        <f t="shared" si="0"/>
        <v/>
      </c>
      <c r="K10" s="33" t="str">
        <f t="shared" si="0"/>
        <v/>
      </c>
      <c r="L10" s="33" t="str">
        <f t="shared" si="0"/>
        <v/>
      </c>
      <c r="M10" s="33" t="str">
        <f t="shared" si="0"/>
        <v/>
      </c>
    </row>
    <row r="11" spans="1:13" x14ac:dyDescent="0.2">
      <c r="A11" s="32">
        <v>6</v>
      </c>
      <c r="B11" s="33" t="str">
        <f t="shared" si="0"/>
        <v/>
      </c>
      <c r="C11" s="33" t="str">
        <f t="shared" si="0"/>
        <v/>
      </c>
      <c r="D11" s="33" t="str">
        <f t="shared" si="0"/>
        <v/>
      </c>
      <c r="E11" s="33" t="str">
        <f t="shared" si="0"/>
        <v/>
      </c>
      <c r="F11" s="33" t="str">
        <f t="shared" si="0"/>
        <v/>
      </c>
      <c r="G11" s="33" t="str">
        <f t="shared" si="0"/>
        <v/>
      </c>
      <c r="H11" s="33" t="str">
        <f t="shared" si="0"/>
        <v/>
      </c>
      <c r="I11" s="33" t="str">
        <f t="shared" si="0"/>
        <v/>
      </c>
      <c r="J11" s="33" t="str">
        <f t="shared" si="0"/>
        <v/>
      </c>
      <c r="K11" s="33" t="str">
        <f t="shared" si="0"/>
        <v/>
      </c>
      <c r="L11" s="33" t="str">
        <f t="shared" si="0"/>
        <v/>
      </c>
      <c r="M11" s="33" t="str">
        <f t="shared" si="0"/>
        <v/>
      </c>
    </row>
    <row r="12" spans="1:13" x14ac:dyDescent="0.2">
      <c r="A12" s="32">
        <v>7</v>
      </c>
      <c r="B12" s="33" t="str">
        <f t="shared" si="0"/>
        <v/>
      </c>
      <c r="C12" s="33" t="str">
        <f t="shared" si="0"/>
        <v/>
      </c>
      <c r="D12" s="33" t="str">
        <f t="shared" si="0"/>
        <v/>
      </c>
      <c r="E12" s="33" t="str">
        <f t="shared" si="0"/>
        <v/>
      </c>
      <c r="F12" s="33" t="str">
        <f t="shared" si="0"/>
        <v/>
      </c>
      <c r="G12" s="33" t="str">
        <f t="shared" si="0"/>
        <v/>
      </c>
      <c r="H12" s="33" t="str">
        <f t="shared" si="0"/>
        <v/>
      </c>
      <c r="I12" s="33" t="str">
        <f t="shared" si="0"/>
        <v/>
      </c>
      <c r="J12" s="33" t="str">
        <f t="shared" si="0"/>
        <v/>
      </c>
      <c r="K12" s="33" t="str">
        <f t="shared" si="0"/>
        <v/>
      </c>
      <c r="L12" s="33" t="str">
        <f t="shared" si="0"/>
        <v/>
      </c>
      <c r="M12" s="33" t="str">
        <f t="shared" si="0"/>
        <v/>
      </c>
    </row>
    <row r="14" spans="1:13" x14ac:dyDescent="0.2">
      <c r="A14" s="12" t="s">
        <v>212</v>
      </c>
    </row>
    <row r="15" spans="1:13" x14ac:dyDescent="0.2">
      <c r="A15" s="31" t="s">
        <v>211</v>
      </c>
      <c r="B15" s="32">
        <v>1</v>
      </c>
      <c r="C15" s="32">
        <v>2</v>
      </c>
      <c r="D15" s="32">
        <v>3</v>
      </c>
      <c r="E15" s="32">
        <v>4</v>
      </c>
      <c r="F15" s="32">
        <v>5</v>
      </c>
      <c r="G15" s="32">
        <v>6</v>
      </c>
      <c r="H15" s="32">
        <v>7</v>
      </c>
      <c r="I15" s="32">
        <v>8</v>
      </c>
      <c r="J15" s="32">
        <v>9</v>
      </c>
      <c r="K15" s="32">
        <v>10</v>
      </c>
      <c r="L15" s="32">
        <v>11</v>
      </c>
      <c r="M15" s="32">
        <v>12</v>
      </c>
    </row>
    <row r="16" spans="1:13" x14ac:dyDescent="0.2">
      <c r="A16" s="32">
        <v>1</v>
      </c>
      <c r="B16" s="33">
        <f t="shared" ref="B16:M22" si="1">IF(AND($A16&lt;=OwnDaysPerWeek,B$15&lt;=OwnDayHours),1-DailyPenalty*($A16-1)-HourlyLoss*(B$15-1),"")</f>
        <v>1</v>
      </c>
      <c r="C16" s="33">
        <f t="shared" si="1"/>
        <v>0.99</v>
      </c>
      <c r="D16" s="33">
        <f t="shared" si="1"/>
        <v>0.98</v>
      </c>
      <c r="E16" s="33">
        <f t="shared" si="1"/>
        <v>0.97</v>
      </c>
      <c r="F16" s="33" t="str">
        <f t="shared" si="1"/>
        <v/>
      </c>
      <c r="G16" s="33" t="str">
        <f t="shared" si="1"/>
        <v/>
      </c>
      <c r="H16" s="33" t="str">
        <f t="shared" si="1"/>
        <v/>
      </c>
      <c r="I16" s="33" t="str">
        <f t="shared" si="1"/>
        <v/>
      </c>
      <c r="J16" s="33" t="str">
        <f t="shared" si="1"/>
        <v/>
      </c>
      <c r="K16" s="33" t="str">
        <f t="shared" si="1"/>
        <v/>
      </c>
      <c r="L16" s="33" t="str">
        <f t="shared" si="1"/>
        <v/>
      </c>
      <c r="M16" s="33" t="str">
        <f t="shared" si="1"/>
        <v/>
      </c>
    </row>
    <row r="17" spans="1:13" x14ac:dyDescent="0.2">
      <c r="A17" s="32">
        <v>2</v>
      </c>
      <c r="B17" s="33">
        <f t="shared" si="1"/>
        <v>0.99</v>
      </c>
      <c r="C17" s="33">
        <f t="shared" si="1"/>
        <v>0.98</v>
      </c>
      <c r="D17" s="33">
        <f t="shared" si="1"/>
        <v>0.97</v>
      </c>
      <c r="E17" s="33">
        <f t="shared" si="1"/>
        <v>0.96</v>
      </c>
      <c r="F17" s="33" t="str">
        <f t="shared" si="1"/>
        <v/>
      </c>
      <c r="G17" s="33" t="str">
        <f t="shared" si="1"/>
        <v/>
      </c>
      <c r="H17" s="33" t="str">
        <f t="shared" si="1"/>
        <v/>
      </c>
      <c r="I17" s="33" t="str">
        <f t="shared" si="1"/>
        <v/>
      </c>
      <c r="J17" s="33" t="str">
        <f t="shared" si="1"/>
        <v/>
      </c>
      <c r="K17" s="33" t="str">
        <f t="shared" si="1"/>
        <v/>
      </c>
      <c r="L17" s="33" t="str">
        <f t="shared" si="1"/>
        <v/>
      </c>
      <c r="M17" s="33" t="str">
        <f t="shared" si="1"/>
        <v/>
      </c>
    </row>
    <row r="18" spans="1:13" x14ac:dyDescent="0.2">
      <c r="A18" s="32">
        <v>3</v>
      </c>
      <c r="B18" s="33">
        <f t="shared" si="1"/>
        <v>0.98</v>
      </c>
      <c r="C18" s="33">
        <f t="shared" si="1"/>
        <v>0.97</v>
      </c>
      <c r="D18" s="33">
        <f t="shared" si="1"/>
        <v>0.96</v>
      </c>
      <c r="E18" s="33">
        <f t="shared" si="1"/>
        <v>0.95</v>
      </c>
      <c r="F18" s="33" t="str">
        <f t="shared" si="1"/>
        <v/>
      </c>
      <c r="G18" s="33" t="str">
        <f t="shared" si="1"/>
        <v/>
      </c>
      <c r="H18" s="33" t="str">
        <f t="shared" si="1"/>
        <v/>
      </c>
      <c r="I18" s="33" t="str">
        <f t="shared" si="1"/>
        <v/>
      </c>
      <c r="J18" s="33" t="str">
        <f t="shared" si="1"/>
        <v/>
      </c>
      <c r="K18" s="33" t="str">
        <f t="shared" si="1"/>
        <v/>
      </c>
      <c r="L18" s="33" t="str">
        <f t="shared" si="1"/>
        <v/>
      </c>
      <c r="M18" s="33" t="str">
        <f t="shared" si="1"/>
        <v/>
      </c>
    </row>
    <row r="19" spans="1:13" x14ac:dyDescent="0.2">
      <c r="A19" s="32">
        <v>4</v>
      </c>
      <c r="B19" s="33">
        <f t="shared" si="1"/>
        <v>0.97</v>
      </c>
      <c r="C19" s="33">
        <f t="shared" si="1"/>
        <v>0.96</v>
      </c>
      <c r="D19" s="33">
        <f t="shared" si="1"/>
        <v>0.95</v>
      </c>
      <c r="E19" s="33">
        <f t="shared" si="1"/>
        <v>0.94</v>
      </c>
      <c r="F19" s="33" t="str">
        <f t="shared" si="1"/>
        <v/>
      </c>
      <c r="G19" s="33" t="str">
        <f t="shared" si="1"/>
        <v/>
      </c>
      <c r="H19" s="33" t="str">
        <f t="shared" si="1"/>
        <v/>
      </c>
      <c r="I19" s="33" t="str">
        <f t="shared" si="1"/>
        <v/>
      </c>
      <c r="J19" s="33" t="str">
        <f t="shared" si="1"/>
        <v/>
      </c>
      <c r="K19" s="33" t="str">
        <f t="shared" si="1"/>
        <v/>
      </c>
      <c r="L19" s="33" t="str">
        <f t="shared" si="1"/>
        <v/>
      </c>
      <c r="M19" s="33" t="str">
        <f t="shared" si="1"/>
        <v/>
      </c>
    </row>
    <row r="20" spans="1:13" x14ac:dyDescent="0.2">
      <c r="A20" s="32">
        <v>5</v>
      </c>
      <c r="B20" s="33">
        <f t="shared" si="1"/>
        <v>0.96</v>
      </c>
      <c r="C20" s="33">
        <f t="shared" si="1"/>
        <v>0.95</v>
      </c>
      <c r="D20" s="33">
        <f t="shared" si="1"/>
        <v>0.94</v>
      </c>
      <c r="E20" s="33">
        <f t="shared" si="1"/>
        <v>0.92999999999999994</v>
      </c>
      <c r="F20" s="33" t="str">
        <f t="shared" si="1"/>
        <v/>
      </c>
      <c r="G20" s="33" t="str">
        <f t="shared" si="1"/>
        <v/>
      </c>
      <c r="H20" s="33" t="str">
        <f t="shared" si="1"/>
        <v/>
      </c>
      <c r="I20" s="33" t="str">
        <f t="shared" si="1"/>
        <v/>
      </c>
      <c r="J20" s="33" t="str">
        <f t="shared" si="1"/>
        <v/>
      </c>
      <c r="K20" s="33" t="str">
        <f t="shared" si="1"/>
        <v/>
      </c>
      <c r="L20" s="33" t="str">
        <f t="shared" si="1"/>
        <v/>
      </c>
      <c r="M20" s="33" t="str">
        <f t="shared" si="1"/>
        <v/>
      </c>
    </row>
    <row r="21" spans="1:13" x14ac:dyDescent="0.2">
      <c r="A21" s="32">
        <v>6</v>
      </c>
      <c r="B21" s="33" t="str">
        <f t="shared" si="1"/>
        <v/>
      </c>
      <c r="C21" s="33" t="str">
        <f t="shared" si="1"/>
        <v/>
      </c>
      <c r="D21" s="33" t="str">
        <f t="shared" si="1"/>
        <v/>
      </c>
      <c r="E21" s="33" t="str">
        <f t="shared" si="1"/>
        <v/>
      </c>
      <c r="F21" s="33" t="str">
        <f t="shared" si="1"/>
        <v/>
      </c>
      <c r="G21" s="33" t="str">
        <f t="shared" si="1"/>
        <v/>
      </c>
      <c r="H21" s="33" t="str">
        <f t="shared" si="1"/>
        <v/>
      </c>
      <c r="I21" s="33" t="str">
        <f t="shared" si="1"/>
        <v/>
      </c>
      <c r="J21" s="33" t="str">
        <f t="shared" si="1"/>
        <v/>
      </c>
      <c r="K21" s="33" t="str">
        <f t="shared" si="1"/>
        <v/>
      </c>
      <c r="L21" s="33" t="str">
        <f t="shared" si="1"/>
        <v/>
      </c>
      <c r="M21" s="33" t="str">
        <f t="shared" si="1"/>
        <v/>
      </c>
    </row>
    <row r="22" spans="1:13" x14ac:dyDescent="0.2">
      <c r="A22" s="32">
        <v>7</v>
      </c>
      <c r="B22" s="33" t="str">
        <f t="shared" si="1"/>
        <v/>
      </c>
      <c r="C22" s="33" t="str">
        <f t="shared" si="1"/>
        <v/>
      </c>
      <c r="D22" s="33" t="str">
        <f t="shared" si="1"/>
        <v/>
      </c>
      <c r="E22" s="33" t="str">
        <f t="shared" si="1"/>
        <v/>
      </c>
      <c r="F22" s="33" t="str">
        <f t="shared" si="1"/>
        <v/>
      </c>
      <c r="G22" s="33" t="str">
        <f t="shared" si="1"/>
        <v/>
      </c>
      <c r="H22" s="33" t="str">
        <f t="shared" si="1"/>
        <v/>
      </c>
      <c r="I22" s="33" t="str">
        <f t="shared" si="1"/>
        <v/>
      </c>
      <c r="J22" s="33" t="str">
        <f t="shared" si="1"/>
        <v/>
      </c>
      <c r="K22" s="33" t="str">
        <f t="shared" si="1"/>
        <v/>
      </c>
      <c r="L22" s="33" t="str">
        <f t="shared" si="1"/>
        <v/>
      </c>
      <c r="M22" s="33" t="str">
        <f t="shared" si="1"/>
        <v/>
      </c>
    </row>
    <row r="24" spans="1:13" x14ac:dyDescent="0.2">
      <c r="A24" s="21" t="s">
        <v>213</v>
      </c>
      <c r="B24" s="28">
        <f>AVERAGE(B6:M12)</f>
        <v>0.94499999999999973</v>
      </c>
      <c r="C24" s="4" t="s">
        <v>214</v>
      </c>
    </row>
    <row r="25" spans="1:13" x14ac:dyDescent="0.2">
      <c r="A25" s="21" t="s">
        <v>215</v>
      </c>
      <c r="B25" s="28">
        <f>AVERAGE(B16:M22)</f>
        <v>0.96499999999999986</v>
      </c>
    </row>
    <row r="28" spans="1:13" x14ac:dyDescent="0.2">
      <c r="A28" s="12" t="s">
        <v>216</v>
      </c>
    </row>
    <row r="29" spans="1:13" x14ac:dyDescent="0.2">
      <c r="A29" s="5" t="s">
        <v>100</v>
      </c>
      <c r="B29" s="5" t="s">
        <v>101</v>
      </c>
      <c r="C29" s="5" t="s">
        <v>102</v>
      </c>
      <c r="D29" s="5" t="s">
        <v>103</v>
      </c>
      <c r="E29" s="5" t="s">
        <v>104</v>
      </c>
      <c r="F29" s="5" t="s">
        <v>105</v>
      </c>
      <c r="G29" s="5" t="s">
        <v>106</v>
      </c>
    </row>
    <row r="30" spans="1:13" x14ac:dyDescent="0.2">
      <c r="A30" s="6" t="s">
        <v>109</v>
      </c>
      <c r="B30" s="20">
        <v>10</v>
      </c>
      <c r="C30" s="16">
        <f>WhatIf_Tomato_Beds*Tomato_HoursPerWeek*SeasonWeeks*(1+Tomato_DimRate)^WhatIf_Tomato_Beds</f>
        <v>2334.3682140900019</v>
      </c>
      <c r="D30" s="18">
        <f>WhatIf_Tomato_Beds*Tomato_Revenue</f>
        <v>88000</v>
      </c>
      <c r="E30" s="18">
        <f>WhatIf_Tomato_Beds*Tomato_Fertilizer</f>
        <v>8800</v>
      </c>
      <c r="F30" s="18">
        <f>C30*WhatIf_BlendedRate</f>
        <v>48298.285242275604</v>
      </c>
      <c r="G30" s="18">
        <f>D30-E30-F30</f>
        <v>30901.714757724396</v>
      </c>
    </row>
    <row r="31" spans="1:13" x14ac:dyDescent="0.2">
      <c r="A31" s="6" t="s">
        <v>112</v>
      </c>
      <c r="B31" s="20">
        <v>20</v>
      </c>
      <c r="C31" s="16">
        <f>WhatIf_Carrot_Beds*Carrot_HoursPerWeek*SeasonWeeks*(1+Carrot_DimRate)^WhatIf_Carrot_Beds</f>
        <v>983.16986417423732</v>
      </c>
      <c r="D31" s="18">
        <f>WhatIf_Carrot_Beds*Carrot_Revenue</f>
        <v>41880</v>
      </c>
      <c r="E31" s="18">
        <f>WhatIf_Carrot_Beds*Carrot_Fertilizer</f>
        <v>8800</v>
      </c>
      <c r="F31" s="18">
        <f>C31*WhatIf_BlendedRate</f>
        <v>20341.871627140768</v>
      </c>
      <c r="G31" s="18">
        <f>D31-E31-F31</f>
        <v>12738.128372859232</v>
      </c>
    </row>
    <row r="32" spans="1:13" x14ac:dyDescent="0.2">
      <c r="A32" s="6" t="s">
        <v>115</v>
      </c>
      <c r="B32" s="20">
        <v>30</v>
      </c>
      <c r="C32" s="16">
        <f>WhatIf_Mesclun_Beds*Mesclun_HoursPerWeek*SeasonWeeks*(1+Mesclun_DimRate)^WhatIf_Mesclun_Beds</f>
        <v>1959.6780360096488</v>
      </c>
      <c r="D32" s="18">
        <f>WhatIf_Mesclun_Beds*Mesclun_Revenue</f>
        <v>81000</v>
      </c>
      <c r="E32" s="18">
        <f>WhatIf_Mesclun_Beds*Mesclun_Fertilizer</f>
        <v>26400</v>
      </c>
      <c r="F32" s="18">
        <f>C32*WhatIf_BlendedRate</f>
        <v>40545.912249372006</v>
      </c>
      <c r="G32" s="18">
        <f>D32-E32-F32</f>
        <v>14054.087750627994</v>
      </c>
    </row>
    <row r="34" spans="1:9" x14ac:dyDescent="0.2">
      <c r="A34" s="6" t="s">
        <v>217</v>
      </c>
      <c r="B34" s="16">
        <f>SUM(C30:C32)</f>
        <v>5277.2161142738878</v>
      </c>
      <c r="C34" s="4" t="s">
        <v>218</v>
      </c>
      <c r="H34" s="12" t="s">
        <v>123</v>
      </c>
    </row>
    <row r="35" spans="1:9" x14ac:dyDescent="0.2">
      <c r="A35" s="6" t="s">
        <v>219</v>
      </c>
      <c r="B35" s="16">
        <f>MIN(WhatIf_WorkHours,OwnHours*OwnEfficiency)</f>
        <v>694.8</v>
      </c>
      <c r="C35" s="4" t="s">
        <v>220</v>
      </c>
      <c r="H35" s="4" t="s">
        <v>127</v>
      </c>
    </row>
    <row r="36" spans="1:9" x14ac:dyDescent="0.2">
      <c r="A36" s="6" t="s">
        <v>221</v>
      </c>
      <c r="B36" s="16">
        <f>IF(OwnEfficiency=0,0,WhatIf_OwnWork/OwnEfficiency)</f>
        <v>720.00000000000011</v>
      </c>
      <c r="C36" s="4" t="s">
        <v>222</v>
      </c>
      <c r="H36" s="6" t="s">
        <v>131</v>
      </c>
      <c r="I36" s="15">
        <f>Tomato_Cap</f>
        <v>20</v>
      </c>
    </row>
    <row r="37" spans="1:9" x14ac:dyDescent="0.2">
      <c r="A37" s="6" t="s">
        <v>223</v>
      </c>
      <c r="B37" s="16">
        <f>IF(TempEfficiency=0,0,(WhatIf_WorkHours-WhatIf_OwnWork)/TempEfficiency)</f>
        <v>4849.1175812422107</v>
      </c>
      <c r="C37" s="4" t="s">
        <v>224</v>
      </c>
      <c r="H37" s="6" t="s">
        <v>135</v>
      </c>
      <c r="I37" s="15">
        <f>Carrot_Cap</f>
        <v>20</v>
      </c>
    </row>
    <row r="38" spans="1:9" x14ac:dyDescent="0.2">
      <c r="A38" s="6" t="s">
        <v>225</v>
      </c>
      <c r="B38" s="16">
        <f>MaxTemps*TempHoursEach</f>
        <v>5760</v>
      </c>
      <c r="C38" s="4" t="s">
        <v>134</v>
      </c>
      <c r="H38" s="6" t="s">
        <v>140</v>
      </c>
      <c r="I38" s="15">
        <f>Mesclun_Cap</f>
        <v>30</v>
      </c>
    </row>
    <row r="39" spans="1:9" x14ac:dyDescent="0.2">
      <c r="A39" s="6" t="s">
        <v>226</v>
      </c>
      <c r="B39" s="34">
        <f>WhatIf_OwnPaidHours+WhatIf_TempPaidHours</f>
        <v>5569.1175812422107</v>
      </c>
      <c r="C39" s="4" t="s">
        <v>227</v>
      </c>
      <c r="H39" s="6" t="s">
        <v>145</v>
      </c>
      <c r="I39" s="15">
        <f>TotalBeds</f>
        <v>64</v>
      </c>
    </row>
    <row r="40" spans="1:9" x14ac:dyDescent="0.2">
      <c r="A40" s="6" t="s">
        <v>138</v>
      </c>
      <c r="B40" s="18">
        <f>WhatIf_OwnPaidHours*OwnRate+WhatIf_TempPaidHours*TempRate</f>
        <v>109186.06911878838</v>
      </c>
      <c r="C40" s="4" t="s">
        <v>228</v>
      </c>
    </row>
    <row r="41" spans="1:9" x14ac:dyDescent="0.2">
      <c r="A41" s="6" t="s">
        <v>143</v>
      </c>
      <c r="B41" s="17">
        <f>IF(WhatIf_WorkHours=0,0,WhatIf_LaborCost/WhatIf_WorkHours)</f>
        <v>20.690088629014145</v>
      </c>
      <c r="C41" s="4" t="s">
        <v>229</v>
      </c>
    </row>
    <row r="42" spans="1:9" x14ac:dyDescent="0.2">
      <c r="A42" s="6" t="s">
        <v>148</v>
      </c>
      <c r="B42" s="15">
        <f>SUM(B30:B32)</f>
        <v>60</v>
      </c>
      <c r="C42" s="4" t="s">
        <v>149</v>
      </c>
    </row>
    <row r="43" spans="1:9" x14ac:dyDescent="0.2">
      <c r="A43" s="6" t="s">
        <v>154</v>
      </c>
      <c r="B43" s="26">
        <f>SUM(G30:G32)-FixedCost</f>
        <v>37693.930881211621</v>
      </c>
      <c r="C43" s="4" t="s">
        <v>155</v>
      </c>
    </row>
    <row r="45" spans="1:9" x14ac:dyDescent="0.2">
      <c r="A45" s="12" t="s">
        <v>230</v>
      </c>
    </row>
    <row r="46" spans="1:9" x14ac:dyDescent="0.2">
      <c r="A46" s="5"/>
      <c r="B46" s="5" t="s">
        <v>231</v>
      </c>
      <c r="C46" s="5" t="s">
        <v>232</v>
      </c>
    </row>
    <row r="47" spans="1:9" x14ac:dyDescent="0.2">
      <c r="A47" s="6" t="s">
        <v>233</v>
      </c>
      <c r="B47" s="15">
        <f>Tomato_Beds</f>
        <v>10</v>
      </c>
      <c r="C47" s="15">
        <f>WhatIf_Tomato_Beds</f>
        <v>10</v>
      </c>
    </row>
    <row r="48" spans="1:9" x14ac:dyDescent="0.2">
      <c r="A48" s="6" t="s">
        <v>234</v>
      </c>
      <c r="B48" s="15">
        <f>Carrot_Beds</f>
        <v>20</v>
      </c>
      <c r="C48" s="15">
        <f>WhatIf_Carrot_Beds</f>
        <v>20</v>
      </c>
    </row>
    <row r="49" spans="1:3" x14ac:dyDescent="0.2">
      <c r="A49" s="6" t="s">
        <v>235</v>
      </c>
      <c r="B49" s="15">
        <f>Mesclun_Beds</f>
        <v>30</v>
      </c>
      <c r="C49" s="15">
        <f>WhatIf_Mesclun_Beds</f>
        <v>30</v>
      </c>
    </row>
    <row r="50" spans="1:3" x14ac:dyDescent="0.2">
      <c r="A50" s="6" t="s">
        <v>236</v>
      </c>
      <c r="B50" s="18">
        <f>SeasonProfit</f>
        <v>42761.664682745002</v>
      </c>
      <c r="C50" s="18">
        <f>WhatIf_SeasonProfit</f>
        <v>37693.930881211621</v>
      </c>
    </row>
    <row r="51" spans="1:3" x14ac:dyDescent="0.2">
      <c r="A51" s="6" t="s">
        <v>237</v>
      </c>
      <c r="B51" s="16">
        <f>TotalHours</f>
        <v>5277.2161142738878</v>
      </c>
      <c r="C51" s="16">
        <f>WhatIf_PaidHours</f>
        <v>5569.1175812422107</v>
      </c>
    </row>
    <row r="53" spans="1:3" x14ac:dyDescent="0.2">
      <c r="A53" s="12" t="s">
        <v>238</v>
      </c>
    </row>
    <row r="54" spans="1:3" x14ac:dyDescent="0.2">
      <c r="A54" s="13" t="s">
        <v>107</v>
      </c>
      <c r="B54" s="19" t="s">
        <v>239</v>
      </c>
    </row>
    <row r="55" spans="1:3" x14ac:dyDescent="0.2">
      <c r="A55" s="13" t="s">
        <v>113</v>
      </c>
      <c r="B55" s="19" t="s">
        <v>240</v>
      </c>
    </row>
    <row r="56" spans="1:3" x14ac:dyDescent="0.2">
      <c r="A56" s="13" t="s">
        <v>241</v>
      </c>
      <c r="B56" s="19" t="s">
        <v>242</v>
      </c>
    </row>
    <row r="57" spans="1:3" x14ac:dyDescent="0.2">
      <c r="A57" s="13" t="s">
        <v>243</v>
      </c>
      <c r="B57" s="19" t="s">
        <v>244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89</vt:i4>
      </vt:variant>
    </vt:vector>
  </HeadingPairs>
  <TitlesOfParts>
    <vt:vector size="102" baseType="lpstr">
      <vt:lpstr>README</vt:lpstr>
      <vt:lpstr>Inputs</vt:lpstr>
      <vt:lpstr>Schedules</vt:lpstr>
      <vt:lpstr>Answer Report 1</vt:lpstr>
      <vt:lpstr>Answer Report 2</vt:lpstr>
      <vt:lpstr>Answer Report 4</vt:lpstr>
      <vt:lpstr>Answer Report 5</vt:lpstr>
      <vt:lpstr>Answer Report 6</vt:lpstr>
      <vt:lpstr>Optimizer</vt:lpstr>
      <vt:lpstr>Checks</vt:lpstr>
      <vt:lpstr>Answer Report 3</vt:lpstr>
      <vt:lpstr>Answer Report 7</vt:lpstr>
      <vt:lpstr>What if</vt:lpstr>
      <vt:lpstr>BedsPlanted</vt:lpstr>
      <vt:lpstr>BedsUnused</vt:lpstr>
      <vt:lpstr>BlendedRate</vt:lpstr>
      <vt:lpstr>BreakEven_BedsPlanted</vt:lpstr>
      <vt:lpstr>BreakEven_BedsUnused</vt:lpstr>
      <vt:lpstr>BreakEven_BlendedRate</vt:lpstr>
      <vt:lpstr>BreakEven_Carrot_Beds</vt:lpstr>
      <vt:lpstr>BreakEven_LaborCost</vt:lpstr>
      <vt:lpstr>BreakEven_Mesclun_Beds</vt:lpstr>
      <vt:lpstr>BreakEven_OwnHoursUsed</vt:lpstr>
      <vt:lpstr>BreakEven_SeasonProfit</vt:lpstr>
      <vt:lpstr>BreakEven_TempHours</vt:lpstr>
      <vt:lpstr>BreakEven_TempHoursMax</vt:lpstr>
      <vt:lpstr>BreakEven_Tomato_Beds</vt:lpstr>
      <vt:lpstr>BreakEven_TotalHours</vt:lpstr>
      <vt:lpstr>BreakEvenBeds</vt:lpstr>
      <vt:lpstr>Carrot_Beds</vt:lpstr>
      <vt:lpstr>Carrot_BreakEvenBeds</vt:lpstr>
      <vt:lpstr>Carrot_Cap</vt:lpstr>
      <vt:lpstr>Carrot_DimRate</vt:lpstr>
      <vt:lpstr>Carrot_Fertilizer</vt:lpstr>
      <vt:lpstr>Carrot_HoursPerWeek</vt:lpstr>
      <vt:lpstr>Carrot_LastProfitableBed</vt:lpstr>
      <vt:lpstr>Carrot_Revenue</vt:lpstr>
      <vt:lpstr>DailyPenalty</vt:lpstr>
      <vt:lpstr>FertilizerShare</vt:lpstr>
      <vt:lpstr>FixedCost</vt:lpstr>
      <vt:lpstr>FixedShare</vt:lpstr>
      <vt:lpstr>HourlyLoss</vt:lpstr>
      <vt:lpstr>LaborCost</vt:lpstr>
      <vt:lpstr>LaborShare</vt:lpstr>
      <vt:lpstr>Limit_Carrot_Cap</vt:lpstr>
      <vt:lpstr>Limit_Mesclun_Cap</vt:lpstr>
      <vt:lpstr>Limit_Tomato_Cap</vt:lpstr>
      <vt:lpstr>Limit_TotalBeds</vt:lpstr>
      <vt:lpstr>MaxTemps</vt:lpstr>
      <vt:lpstr>Mesclun_Beds</vt:lpstr>
      <vt:lpstr>Mesclun_BreakEvenBeds</vt:lpstr>
      <vt:lpstr>Mesclun_Cap</vt:lpstr>
      <vt:lpstr>Mesclun_DimRate</vt:lpstr>
      <vt:lpstr>Mesclun_Fertilizer</vt:lpstr>
      <vt:lpstr>Mesclun_HoursPerWeek</vt:lpstr>
      <vt:lpstr>Mesclun_LastProfitableBed</vt:lpstr>
      <vt:lpstr>Mesclun_Revenue</vt:lpstr>
      <vt:lpstr>OwnDayHours</vt:lpstr>
      <vt:lpstr>OwnDaysPerWeek</vt:lpstr>
      <vt:lpstr>OwnEfficiency</vt:lpstr>
      <vt:lpstr>OwnHours</vt:lpstr>
      <vt:lpstr>OwnHoursUsed</vt:lpstr>
      <vt:lpstr>OwnPayBasisHours</vt:lpstr>
      <vt:lpstr>OwnRate</vt:lpstr>
      <vt:lpstr>OwnSeasonPay</vt:lpstr>
      <vt:lpstr>SeasonProfit</vt:lpstr>
      <vt:lpstr>SeasonWeeks</vt:lpstr>
      <vt:lpstr>TempDayHours</vt:lpstr>
      <vt:lpstr>TempDaysPerWeek</vt:lpstr>
      <vt:lpstr>TempEfficiency</vt:lpstr>
      <vt:lpstr>TempHours</vt:lpstr>
      <vt:lpstr>TempHoursEach</vt:lpstr>
      <vt:lpstr>TempHoursMax</vt:lpstr>
      <vt:lpstr>TempRate</vt:lpstr>
      <vt:lpstr>TempSeasonPay</vt:lpstr>
      <vt:lpstr>Tomato_Beds</vt:lpstr>
      <vt:lpstr>Tomato_BreakEvenBeds</vt:lpstr>
      <vt:lpstr>Tomato_Cap</vt:lpstr>
      <vt:lpstr>Tomato_DimRate</vt:lpstr>
      <vt:lpstr>Tomato_Fertilizer</vt:lpstr>
      <vt:lpstr>Tomato_HoursPerWeek</vt:lpstr>
      <vt:lpstr>Tomato_LastProfitableBed</vt:lpstr>
      <vt:lpstr>Tomato_Revenue</vt:lpstr>
      <vt:lpstr>TotalBeds</vt:lpstr>
      <vt:lpstr>TotalHours</vt:lpstr>
      <vt:lpstr>WhatIf_BedsPlanted</vt:lpstr>
      <vt:lpstr>WhatIf_BlendedRate</vt:lpstr>
      <vt:lpstr>WhatIf_Carrot_Beds</vt:lpstr>
      <vt:lpstr>WhatIf_LaborCost</vt:lpstr>
      <vt:lpstr>WhatIf_Limit_Carrot_Cap</vt:lpstr>
      <vt:lpstr>WhatIf_Limit_Mesclun_Cap</vt:lpstr>
      <vt:lpstr>WhatIf_Limit_Tomato_Cap</vt:lpstr>
      <vt:lpstr>WhatIf_Limit_TotalBeds</vt:lpstr>
      <vt:lpstr>WhatIf_Mesclun_Beds</vt:lpstr>
      <vt:lpstr>WhatIf_OwnPaidHours</vt:lpstr>
      <vt:lpstr>WhatIf_OwnWork</vt:lpstr>
      <vt:lpstr>WhatIf_PaidHours</vt:lpstr>
      <vt:lpstr>WhatIf_SeasonProfit</vt:lpstr>
      <vt:lpstr>WhatIf_TempPaidHours</vt:lpstr>
      <vt:lpstr>WhatIf_TempPaidHoursMax</vt:lpstr>
      <vt:lpstr>WhatIf_Tomato_Beds</vt:lpstr>
      <vt:lpstr>WhatIf_WorkHours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nope nope</cp:lastModifiedBy>
  <dcterms:created xsi:type="dcterms:W3CDTF">2026-10-28T02:11:44Z</dcterms:created>
  <dcterms:modified xsi:type="dcterms:W3CDTF">2026-10-30T05:36:12Z</dcterms:modified>
</cp:coreProperties>
</file>